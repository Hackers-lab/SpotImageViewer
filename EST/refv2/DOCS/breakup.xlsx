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RP\PHE\NEW\KUSHIDA III\"/>
    </mc:Choice>
  </mc:AlternateContent>
  <xr:revisionPtr revIDLastSave="0" documentId="8_{40F93654-2E14-429B-84AB-41A7F0468DD4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Guchiya 2" sheetId="1" r:id="rId1"/>
    <sheet name="BISHANPUR I" sheetId="2" r:id="rId2"/>
    <sheet name="GOURIA II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44" i="1"/>
  <c r="E44" i="3"/>
  <c r="E23" i="2"/>
  <c r="E45" i="3"/>
  <c r="E43" i="3"/>
  <c r="D42" i="3"/>
  <c r="E42" i="3" s="1"/>
  <c r="E41" i="3"/>
  <c r="E40" i="3"/>
  <c r="E39" i="3"/>
  <c r="D38" i="3"/>
  <c r="E38" i="3" s="1"/>
  <c r="E35" i="3"/>
  <c r="E34" i="3"/>
  <c r="D33" i="3"/>
  <c r="E33" i="3" s="1"/>
  <c r="E36" i="3" s="1"/>
  <c r="F36" i="3" s="1"/>
  <c r="E32" i="3"/>
  <c r="E31" i="3"/>
  <c r="E30" i="3"/>
  <c r="E27" i="3"/>
  <c r="D26" i="3"/>
  <c r="E26" i="3" s="1"/>
  <c r="D25" i="3"/>
  <c r="E25" i="3" s="1"/>
  <c r="D24" i="3"/>
  <c r="E24" i="3" s="1"/>
  <c r="E23" i="3"/>
  <c r="E22" i="3"/>
  <c r="E21" i="3"/>
  <c r="E20" i="3"/>
  <c r="E19" i="3"/>
  <c r="E18" i="3"/>
  <c r="E17" i="3"/>
  <c r="E16" i="3"/>
  <c r="D13" i="3"/>
  <c r="E13" i="3" s="1"/>
  <c r="D12" i="3"/>
  <c r="E12" i="3" s="1"/>
  <c r="D11" i="3"/>
  <c r="E11" i="3" s="1"/>
  <c r="D10" i="3"/>
  <c r="E10" i="3" s="1"/>
  <c r="E9" i="3"/>
  <c r="E8" i="3"/>
  <c r="D8" i="3"/>
  <c r="D7" i="3"/>
  <c r="E7" i="3" s="1"/>
  <c r="E6" i="3"/>
  <c r="D5" i="3"/>
  <c r="E5" i="3" s="1"/>
  <c r="D4" i="3"/>
  <c r="E4" i="3" s="1"/>
  <c r="D3" i="3"/>
  <c r="E3" i="3" s="1"/>
  <c r="E46" i="3" l="1"/>
  <c r="F46" i="3" s="1"/>
  <c r="E14" i="3"/>
  <c r="F14" i="3" s="1"/>
  <c r="E28" i="3"/>
  <c r="F28" i="3" s="1"/>
  <c r="E45" i="2"/>
  <c r="E44" i="2"/>
  <c r="E43" i="2"/>
  <c r="D42" i="2"/>
  <c r="E42" i="2" s="1"/>
  <c r="E41" i="2"/>
  <c r="E40" i="2"/>
  <c r="E39" i="2"/>
  <c r="E38" i="2"/>
  <c r="D38" i="2"/>
  <c r="E35" i="2"/>
  <c r="E34" i="2"/>
  <c r="E33" i="2"/>
  <c r="D33" i="2"/>
  <c r="E32" i="2"/>
  <c r="E31" i="2"/>
  <c r="E30" i="2"/>
  <c r="E36" i="2" s="1"/>
  <c r="F36" i="2" s="1"/>
  <c r="E27" i="2"/>
  <c r="D26" i="2"/>
  <c r="E26" i="2" s="1"/>
  <c r="E25" i="2"/>
  <c r="D25" i="2"/>
  <c r="D24" i="2"/>
  <c r="E24" i="2" s="1"/>
  <c r="E22" i="2"/>
  <c r="E21" i="2"/>
  <c r="E20" i="2"/>
  <c r="E19" i="2"/>
  <c r="E18" i="2"/>
  <c r="E17" i="2"/>
  <c r="E16" i="2"/>
  <c r="D13" i="2"/>
  <c r="E13" i="2" s="1"/>
  <c r="D12" i="2"/>
  <c r="E12" i="2" s="1"/>
  <c r="D11" i="2"/>
  <c r="E11" i="2" s="1"/>
  <c r="D10" i="2"/>
  <c r="E10" i="2" s="1"/>
  <c r="E9" i="2"/>
  <c r="D8" i="2"/>
  <c r="E8" i="2" s="1"/>
  <c r="D7" i="2"/>
  <c r="E7" i="2" s="1"/>
  <c r="E6" i="2"/>
  <c r="D5" i="2"/>
  <c r="E5" i="2" s="1"/>
  <c r="D4" i="2"/>
  <c r="E4" i="2" s="1"/>
  <c r="D3" i="2"/>
  <c r="E3" i="2" s="1"/>
  <c r="E45" i="1"/>
  <c r="E43" i="1"/>
  <c r="D42" i="1"/>
  <c r="E42" i="1" s="1"/>
  <c r="E41" i="1"/>
  <c r="E40" i="1"/>
  <c r="E39" i="1"/>
  <c r="D38" i="1"/>
  <c r="E38" i="1" s="1"/>
  <c r="E35" i="1"/>
  <c r="E34" i="1"/>
  <c r="D33" i="1"/>
  <c r="E33" i="1" s="1"/>
  <c r="E32" i="1"/>
  <c r="E31" i="1"/>
  <c r="E30" i="1"/>
  <c r="E27" i="1"/>
  <c r="D26" i="1"/>
  <c r="E26" i="1" s="1"/>
  <c r="D25" i="1"/>
  <c r="E25" i="1" s="1"/>
  <c r="D24" i="1"/>
  <c r="E24" i="1" s="1"/>
  <c r="E22" i="1"/>
  <c r="E21" i="1"/>
  <c r="E20" i="1"/>
  <c r="E19" i="1"/>
  <c r="E18" i="1"/>
  <c r="E17" i="1"/>
  <c r="E16" i="1"/>
  <c r="D13" i="1"/>
  <c r="E13" i="1" s="1"/>
  <c r="D12" i="1"/>
  <c r="E12" i="1" s="1"/>
  <c r="E11" i="1"/>
  <c r="D11" i="1"/>
  <c r="D10" i="1"/>
  <c r="E10" i="1" s="1"/>
  <c r="E9" i="1"/>
  <c r="E8" i="1"/>
  <c r="D8" i="1"/>
  <c r="D7" i="1"/>
  <c r="E7" i="1" s="1"/>
  <c r="E6" i="1"/>
  <c r="D5" i="1"/>
  <c r="E5" i="1" s="1"/>
  <c r="D4" i="1"/>
  <c r="E4" i="1" s="1"/>
  <c r="D3" i="1"/>
  <c r="E3" i="1" s="1"/>
  <c r="E46" i="2" l="1"/>
  <c r="F46" i="2" s="1"/>
  <c r="E28" i="2"/>
  <c r="F28" i="2" s="1"/>
  <c r="E14" i="2"/>
  <c r="F14" i="2" s="1"/>
  <c r="E14" i="1"/>
  <c r="F14" i="1" s="1"/>
  <c r="E46" i="1"/>
  <c r="F46" i="1" s="1"/>
  <c r="E28" i="1"/>
  <c r="F28" i="1" s="1"/>
  <c r="E36" i="1"/>
  <c r="F36" i="1" s="1"/>
</calcChain>
</file>

<file path=xl/sharedStrings.xml><?xml version="1.0" encoding="utf-8"?>
<sst xmlns="http://schemas.openxmlformats.org/spreadsheetml/2006/main" count="187" uniqueCount="50">
  <si>
    <t>Total</t>
  </si>
  <si>
    <t>B</t>
  </si>
  <si>
    <t>M.S. Channel (75X40mm)</t>
  </si>
  <si>
    <t>No</t>
  </si>
  <si>
    <t>Length</t>
  </si>
  <si>
    <t>Single Pole (V-Bracket &amp; Top Adaptor)</t>
  </si>
  <si>
    <t>Single Pole Extension</t>
  </si>
  <si>
    <t>Double Pole Structure (2* No of D.P.)</t>
  </si>
  <si>
    <t>Line D.P. Cradle Guard Bracket</t>
  </si>
  <si>
    <t>Tripple Pole Structure</t>
  </si>
  <si>
    <t>Four-Pole Structure</t>
  </si>
  <si>
    <t>Tee Off Bracket</t>
  </si>
  <si>
    <t>Sub-Stn Top</t>
  </si>
  <si>
    <t>Isolator Support</t>
  </si>
  <si>
    <t>Transformer Base</t>
  </si>
  <si>
    <t>I-Bolt &amp; Handle</t>
  </si>
  <si>
    <t>C</t>
  </si>
  <si>
    <t>M.S. Angle (65X65X6mm)</t>
  </si>
  <si>
    <t>Tee Off Tie (Tapping)</t>
  </si>
  <si>
    <t>Tee Off Bracket (Tapping)</t>
  </si>
  <si>
    <t>C.G. Bracket on Single Pole</t>
  </si>
  <si>
    <t>C.G. Bracket on Double Pole</t>
  </si>
  <si>
    <t>H.T. Bracket on Single Pole</t>
  </si>
  <si>
    <t>L.T. Bracket on Single Pole (4 wire)</t>
  </si>
  <si>
    <t>Box Bracket on Single Pole</t>
  </si>
  <si>
    <t>Service Angle Fittings</t>
  </si>
  <si>
    <t>H.T. Fuse Unit</t>
  </si>
  <si>
    <t>Sub-Stn Main Switch Angle</t>
  </si>
  <si>
    <t>Angle Support on Sub-Stn</t>
  </si>
  <si>
    <t>Foot Rest</t>
  </si>
  <si>
    <t>D</t>
  </si>
  <si>
    <t>M.S. Angle (50X50X6mm)</t>
  </si>
  <si>
    <t>D.P. Basing</t>
  </si>
  <si>
    <t>T.P. Basing</t>
  </si>
  <si>
    <t>L.T. Fuse Unit</t>
  </si>
  <si>
    <t>E</t>
  </si>
  <si>
    <t>M.S. Flat (65X6mm)</t>
  </si>
  <si>
    <t>No. of H.T. Clamp Sub-Stn</t>
  </si>
  <si>
    <t>Line D.P. ( 6*No of D.P.)</t>
  </si>
  <si>
    <t>Tee off Tie (Tapping-3 to 5 Nos)</t>
  </si>
  <si>
    <t>HT Single Pole (2 nos)</t>
  </si>
  <si>
    <t>Extention of Pole upto 3 Mtr (6 nos)</t>
  </si>
  <si>
    <t>Tripple Pole Structure (6 nos + 12 nos)</t>
  </si>
  <si>
    <t>No. of L.T. Pole</t>
  </si>
  <si>
    <t>CG BRACKET</t>
  </si>
  <si>
    <t>cross arm</t>
  </si>
  <si>
    <t>MOBARAKPUR II</t>
  </si>
  <si>
    <t>GOCHIYA II</t>
  </si>
  <si>
    <t>w A</t>
  </si>
  <si>
    <t>GOURIA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</si>
</sst>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4"/>
      <name val="Century"/>
      <family val="1"/>
    </font>
    <font>
      <sz val="10"/>
      <name val="Arial"/>
      <family val="2"/>
    </font>
    <font>
      <sz val="11"/>
      <name val="Century"/>
      <family val="1"/>
    </font>
    <font>
      <b/>
      <sz val="12"/>
      <name val="Century"/>
      <family val="1"/>
    </font>
    <font>
      <sz val="10"/>
      <name val="Century"/>
      <family val="1"/>
    </font>
    <font>
      <sz val="16"/>
      <name val="Century"/>
      <family val="1"/>
    </font>
    <font>
      <sz val="11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6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opLeftCell="A25" zoomScaleNormal="100" workbookViewId="0">
      <selection activeCell="H35" sqref="H35"/>
    </sheetView>
  </sheetViews>
  <sheetFormatPr defaultRowHeight="15" x14ac:dyDescent="0.25"/>
  <cols>
    <col min="2" max="2" width="41.140625" bestFit="1" customWidth="1"/>
  </cols>
  <sheetData>
    <row r="1" spans="1:6" x14ac:dyDescent="0.25">
      <c r="A1" s="17" t="s">
        <v>47</v>
      </c>
      <c r="B1" s="17"/>
      <c r="C1" s="17"/>
      <c r="D1" s="17"/>
      <c r="E1" s="17"/>
    </row>
    <row r="2" spans="1:6" ht="15.75" x14ac:dyDescent="0.25">
      <c r="A2" s="3" t="s">
        <v>1</v>
      </c>
      <c r="B2" s="4" t="s">
        <v>2</v>
      </c>
      <c r="C2" s="5" t="s">
        <v>3</v>
      </c>
      <c r="D2" s="5" t="s">
        <v>4</v>
      </c>
      <c r="E2" s="5" t="s">
        <v>0</v>
      </c>
      <c r="F2" s="6"/>
    </row>
    <row r="3" spans="1:6" x14ac:dyDescent="0.25">
      <c r="A3" s="2">
        <v>1</v>
      </c>
      <c r="B3" s="7" t="s">
        <v>5</v>
      </c>
      <c r="C3" s="2">
        <v>10</v>
      </c>
      <c r="D3" s="2">
        <f>1.5+0.3</f>
        <v>1.8</v>
      </c>
      <c r="E3" s="2">
        <f t="shared" ref="E3:E13" si="0">C3*D3</f>
        <v>18</v>
      </c>
      <c r="F3" s="6"/>
    </row>
    <row r="4" spans="1:6" x14ac:dyDescent="0.25">
      <c r="A4" s="2">
        <v>2</v>
      </c>
      <c r="B4" s="7" t="s">
        <v>6</v>
      </c>
      <c r="C4" s="2">
        <v>16</v>
      </c>
      <c r="D4" s="2">
        <f>2*3</f>
        <v>6</v>
      </c>
      <c r="E4" s="2">
        <f t="shared" si="0"/>
        <v>96</v>
      </c>
      <c r="F4" s="6"/>
    </row>
    <row r="5" spans="1:6" x14ac:dyDescent="0.25">
      <c r="A5" s="2">
        <v>3</v>
      </c>
      <c r="B5" s="7" t="s">
        <v>7</v>
      </c>
      <c r="C5" s="2">
        <v>2</v>
      </c>
      <c r="D5" s="2">
        <f>2*2.5</f>
        <v>5</v>
      </c>
      <c r="E5" s="2">
        <f t="shared" si="0"/>
        <v>10</v>
      </c>
      <c r="F5" s="6"/>
    </row>
    <row r="6" spans="1:6" x14ac:dyDescent="0.25">
      <c r="A6" s="2">
        <v>4</v>
      </c>
      <c r="B6" s="7" t="s">
        <v>8</v>
      </c>
      <c r="C6" s="2"/>
      <c r="D6" s="2">
        <v>2.75</v>
      </c>
      <c r="E6" s="2">
        <f t="shared" si="0"/>
        <v>0</v>
      </c>
      <c r="F6" s="6"/>
    </row>
    <row r="7" spans="1:6" x14ac:dyDescent="0.25">
      <c r="A7" s="2">
        <v>5</v>
      </c>
      <c r="B7" s="7" t="s">
        <v>9</v>
      </c>
      <c r="C7" s="2"/>
      <c r="D7" s="2">
        <f>2*6</f>
        <v>12</v>
      </c>
      <c r="E7" s="2">
        <f t="shared" si="0"/>
        <v>0</v>
      </c>
      <c r="F7" s="6"/>
    </row>
    <row r="8" spans="1:6" x14ac:dyDescent="0.25">
      <c r="A8" s="2">
        <v>6</v>
      </c>
      <c r="B8" s="7" t="s">
        <v>10</v>
      </c>
      <c r="C8" s="2"/>
      <c r="D8" s="2">
        <f>2*8</f>
        <v>16</v>
      </c>
      <c r="E8" s="2">
        <f t="shared" si="0"/>
        <v>0</v>
      </c>
      <c r="F8" s="6"/>
    </row>
    <row r="9" spans="1:6" x14ac:dyDescent="0.25">
      <c r="A9" s="2">
        <v>7</v>
      </c>
      <c r="B9" s="7" t="s">
        <v>11</v>
      </c>
      <c r="C9" s="2"/>
      <c r="D9" s="2">
        <v>2</v>
      </c>
      <c r="E9" s="2">
        <f t="shared" si="0"/>
        <v>0</v>
      </c>
      <c r="F9" s="6"/>
    </row>
    <row r="10" spans="1:6" x14ac:dyDescent="0.25">
      <c r="A10" s="8">
        <v>8</v>
      </c>
      <c r="B10" s="9" t="s">
        <v>12</v>
      </c>
      <c r="C10" s="8">
        <v>1</v>
      </c>
      <c r="D10" s="8">
        <f t="shared" ref="D10:D12" si="1">2*2.25</f>
        <v>4.5</v>
      </c>
      <c r="E10" s="8">
        <f t="shared" si="0"/>
        <v>4.5</v>
      </c>
      <c r="F10" s="6"/>
    </row>
    <row r="11" spans="1:6" x14ac:dyDescent="0.25">
      <c r="A11" s="8">
        <v>9</v>
      </c>
      <c r="B11" s="9" t="s">
        <v>13</v>
      </c>
      <c r="C11" s="8">
        <v>1</v>
      </c>
      <c r="D11" s="8">
        <f t="shared" si="1"/>
        <v>4.5</v>
      </c>
      <c r="E11" s="8">
        <f t="shared" si="0"/>
        <v>4.5</v>
      </c>
      <c r="F11" s="6"/>
    </row>
    <row r="12" spans="1:6" x14ac:dyDescent="0.25">
      <c r="A12" s="8">
        <v>10</v>
      </c>
      <c r="B12" s="9" t="s">
        <v>14</v>
      </c>
      <c r="C12" s="8">
        <v>1</v>
      </c>
      <c r="D12" s="8">
        <f t="shared" si="1"/>
        <v>4.5</v>
      </c>
      <c r="E12" s="8">
        <f t="shared" si="0"/>
        <v>4.5</v>
      </c>
      <c r="F12" s="6"/>
    </row>
    <row r="13" spans="1:6" x14ac:dyDescent="0.25">
      <c r="A13" s="8">
        <v>11</v>
      </c>
      <c r="B13" s="9" t="s">
        <v>15</v>
      </c>
      <c r="C13" s="8">
        <v>1</v>
      </c>
      <c r="D13" s="8">
        <f>2*0.5</f>
        <v>1</v>
      </c>
      <c r="E13" s="8">
        <f t="shared" si="0"/>
        <v>1</v>
      </c>
      <c r="F13" s="6"/>
    </row>
    <row r="14" spans="1:6" ht="18" x14ac:dyDescent="0.25">
      <c r="A14" s="13" t="s">
        <v>0</v>
      </c>
      <c r="B14" s="14"/>
      <c r="C14" s="16">
        <v>7.5</v>
      </c>
      <c r="D14" s="14"/>
      <c r="E14" s="2">
        <f>SUM(E3:E13)</f>
        <v>138.5</v>
      </c>
      <c r="F14" s="1">
        <f>ROUND((C14*E14)*1.03,0)</f>
        <v>1070</v>
      </c>
    </row>
    <row r="15" spans="1:6" ht="15.75" x14ac:dyDescent="0.25">
      <c r="A15" s="3" t="s">
        <v>16</v>
      </c>
      <c r="B15" s="4" t="s">
        <v>17</v>
      </c>
      <c r="C15" s="5" t="s">
        <v>3</v>
      </c>
      <c r="D15" s="5" t="s">
        <v>4</v>
      </c>
      <c r="E15" s="5" t="s">
        <v>0</v>
      </c>
      <c r="F15" s="10"/>
    </row>
    <row r="16" spans="1:6" x14ac:dyDescent="0.25">
      <c r="A16" s="2">
        <v>1</v>
      </c>
      <c r="B16" s="7" t="s">
        <v>18</v>
      </c>
      <c r="C16" s="2"/>
      <c r="D16" s="2">
        <v>2</v>
      </c>
      <c r="E16" s="2">
        <f t="shared" ref="E16:E27" si="2">C16*D16</f>
        <v>0</v>
      </c>
      <c r="F16" s="10"/>
    </row>
    <row r="17" spans="1:6" x14ac:dyDescent="0.25">
      <c r="A17" s="2">
        <v>2</v>
      </c>
      <c r="B17" s="7" t="s">
        <v>19</v>
      </c>
      <c r="C17" s="2"/>
      <c r="D17" s="2">
        <v>2</v>
      </c>
      <c r="E17" s="2">
        <f t="shared" si="2"/>
        <v>0</v>
      </c>
      <c r="F17" s="10"/>
    </row>
    <row r="18" spans="1:6" x14ac:dyDescent="0.25">
      <c r="A18" s="2">
        <v>3</v>
      </c>
      <c r="B18" s="7" t="s">
        <v>20</v>
      </c>
      <c r="C18" s="2">
        <v>10</v>
      </c>
      <c r="D18" s="2">
        <v>1.9</v>
      </c>
      <c r="E18" s="2">
        <f t="shared" si="2"/>
        <v>19</v>
      </c>
      <c r="F18" s="10"/>
    </row>
    <row r="19" spans="1:6" x14ac:dyDescent="0.25">
      <c r="A19" s="2">
        <v>4</v>
      </c>
      <c r="B19" s="7" t="s">
        <v>21</v>
      </c>
      <c r="C19" s="2">
        <v>4</v>
      </c>
      <c r="D19" s="2">
        <v>2.75</v>
      </c>
      <c r="E19" s="2">
        <f t="shared" si="2"/>
        <v>11</v>
      </c>
      <c r="F19" s="10"/>
    </row>
    <row r="20" spans="1:6" x14ac:dyDescent="0.25">
      <c r="A20" s="2">
        <v>5</v>
      </c>
      <c r="B20" s="7" t="s">
        <v>22</v>
      </c>
      <c r="C20" s="2"/>
      <c r="D20" s="2">
        <v>1.8</v>
      </c>
      <c r="E20" s="2">
        <f t="shared" si="2"/>
        <v>0</v>
      </c>
      <c r="F20" s="10"/>
    </row>
    <row r="21" spans="1:6" x14ac:dyDescent="0.25">
      <c r="A21" s="2">
        <v>6</v>
      </c>
      <c r="B21" s="7" t="s">
        <v>23</v>
      </c>
      <c r="C21" s="2"/>
      <c r="D21" s="2">
        <v>1</v>
      </c>
      <c r="E21" s="2">
        <f t="shared" si="2"/>
        <v>0</v>
      </c>
      <c r="F21" s="10"/>
    </row>
    <row r="22" spans="1:6" x14ac:dyDescent="0.25">
      <c r="A22" s="2">
        <v>7</v>
      </c>
      <c r="B22" s="7" t="s">
        <v>24</v>
      </c>
      <c r="C22" s="2"/>
      <c r="D22" s="2">
        <v>5.5</v>
      </c>
      <c r="E22" s="2">
        <f t="shared" si="2"/>
        <v>0</v>
      </c>
      <c r="F22" s="10"/>
    </row>
    <row r="23" spans="1:6" x14ac:dyDescent="0.25">
      <c r="A23" s="2">
        <v>8</v>
      </c>
      <c r="B23" s="7" t="s">
        <v>45</v>
      </c>
      <c r="C23" s="2">
        <v>2</v>
      </c>
      <c r="D23" s="2">
        <v>6.36</v>
      </c>
      <c r="E23" s="2">
        <f t="shared" si="2"/>
        <v>12.72</v>
      </c>
      <c r="F23" s="10"/>
    </row>
    <row r="24" spans="1:6" x14ac:dyDescent="0.25">
      <c r="A24" s="8">
        <v>9</v>
      </c>
      <c r="B24" s="9" t="s">
        <v>26</v>
      </c>
      <c r="C24" s="8">
        <v>1</v>
      </c>
      <c r="D24" s="8">
        <f t="shared" ref="D24:D25" si="3">2*2.25</f>
        <v>4.5</v>
      </c>
      <c r="E24" s="8">
        <f t="shared" si="2"/>
        <v>4.5</v>
      </c>
      <c r="F24" s="10"/>
    </row>
    <row r="25" spans="1:6" x14ac:dyDescent="0.25">
      <c r="A25" s="8">
        <v>10</v>
      </c>
      <c r="B25" s="9" t="s">
        <v>27</v>
      </c>
      <c r="C25" s="8">
        <v>1</v>
      </c>
      <c r="D25" s="8">
        <f t="shared" si="3"/>
        <v>4.5</v>
      </c>
      <c r="E25" s="8">
        <f t="shared" si="2"/>
        <v>4.5</v>
      </c>
      <c r="F25" s="10"/>
    </row>
    <row r="26" spans="1:6" x14ac:dyDescent="0.25">
      <c r="A26" s="8">
        <v>11</v>
      </c>
      <c r="B26" s="9" t="s">
        <v>28</v>
      </c>
      <c r="C26" s="8">
        <v>1</v>
      </c>
      <c r="D26" s="8">
        <f>2*0.5</f>
        <v>1</v>
      </c>
      <c r="E26" s="8">
        <f t="shared" si="2"/>
        <v>1</v>
      </c>
      <c r="F26" s="10"/>
    </row>
    <row r="27" spans="1:6" x14ac:dyDescent="0.25">
      <c r="A27" s="8">
        <v>12</v>
      </c>
      <c r="B27" s="9" t="s">
        <v>29</v>
      </c>
      <c r="C27" s="8"/>
      <c r="D27" s="8">
        <v>2.25</v>
      </c>
      <c r="E27" s="8">
        <f t="shared" si="2"/>
        <v>0</v>
      </c>
      <c r="F27" s="10"/>
    </row>
    <row r="28" spans="1:6" ht="20.25" x14ac:dyDescent="0.25">
      <c r="A28" s="18" t="s">
        <v>0</v>
      </c>
      <c r="B28" s="14"/>
      <c r="C28" s="16">
        <v>6.5</v>
      </c>
      <c r="D28" s="14"/>
      <c r="E28" s="2">
        <f>SUM(E16:E27)</f>
        <v>52.72</v>
      </c>
      <c r="F28" s="11">
        <f>ROUND((C28*E28)*1.03,0)</f>
        <v>353</v>
      </c>
    </row>
    <row r="29" spans="1:6" ht="15.75" x14ac:dyDescent="0.25">
      <c r="A29" s="3" t="s">
        <v>30</v>
      </c>
      <c r="B29" s="4" t="s">
        <v>31</v>
      </c>
      <c r="C29" s="5" t="s">
        <v>3</v>
      </c>
      <c r="D29" s="5" t="s">
        <v>4</v>
      </c>
      <c r="E29" s="5" t="s">
        <v>0</v>
      </c>
      <c r="F29" s="10"/>
    </row>
    <row r="30" spans="1:6" x14ac:dyDescent="0.25">
      <c r="A30" s="2">
        <v>1</v>
      </c>
      <c r="B30" s="7" t="s">
        <v>18</v>
      </c>
      <c r="C30" s="2"/>
      <c r="D30" s="2">
        <v>2.5</v>
      </c>
      <c r="E30" s="2">
        <f t="shared" ref="E30:E35" si="4">C30*D30</f>
        <v>0</v>
      </c>
      <c r="F30" s="10"/>
    </row>
    <row r="31" spans="1:6" x14ac:dyDescent="0.25">
      <c r="A31" s="2">
        <v>2</v>
      </c>
      <c r="B31" s="7" t="s">
        <v>32</v>
      </c>
      <c r="C31" s="2"/>
      <c r="D31" s="2">
        <v>2.5</v>
      </c>
      <c r="E31" s="2">
        <f t="shared" si="4"/>
        <v>0</v>
      </c>
      <c r="F31" s="10"/>
    </row>
    <row r="32" spans="1:6" x14ac:dyDescent="0.25">
      <c r="A32" s="2">
        <v>3</v>
      </c>
      <c r="B32" s="7" t="s">
        <v>33</v>
      </c>
      <c r="C32" s="2"/>
      <c r="D32" s="2">
        <v>2.5</v>
      </c>
      <c r="E32" s="2">
        <f t="shared" si="4"/>
        <v>0</v>
      </c>
      <c r="F32" s="10"/>
    </row>
    <row r="33" spans="1:6" x14ac:dyDescent="0.25">
      <c r="A33" s="2">
        <v>4</v>
      </c>
      <c r="B33" s="7" t="s">
        <v>34</v>
      </c>
      <c r="C33" s="2"/>
      <c r="D33" s="2">
        <f>2.5*2</f>
        <v>5</v>
      </c>
      <c r="E33" s="2">
        <f t="shared" si="4"/>
        <v>0</v>
      </c>
      <c r="F33" s="10"/>
    </row>
    <row r="34" spans="1:6" x14ac:dyDescent="0.25">
      <c r="A34" s="2">
        <v>5</v>
      </c>
      <c r="B34" s="7" t="s">
        <v>27</v>
      </c>
      <c r="C34" s="2"/>
      <c r="D34" s="2">
        <v>5</v>
      </c>
      <c r="E34" s="2">
        <f t="shared" si="4"/>
        <v>0</v>
      </c>
      <c r="F34" s="10"/>
    </row>
    <row r="35" spans="1:6" x14ac:dyDescent="0.25">
      <c r="A35" s="2">
        <v>6</v>
      </c>
      <c r="B35" s="7" t="s">
        <v>25</v>
      </c>
      <c r="C35" s="2"/>
      <c r="D35" s="2">
        <v>2</v>
      </c>
      <c r="E35" s="2">
        <f t="shared" si="4"/>
        <v>0</v>
      </c>
      <c r="F35" s="10"/>
    </row>
    <row r="36" spans="1:6" ht="18" x14ac:dyDescent="0.25">
      <c r="A36" s="13" t="s">
        <v>0</v>
      </c>
      <c r="B36" s="14"/>
      <c r="C36" s="15">
        <v>5</v>
      </c>
      <c r="D36" s="14"/>
      <c r="E36" s="2">
        <f>SUM(E30:E35)</f>
        <v>0</v>
      </c>
      <c r="F36" s="11">
        <f>ROUND((C36*E36)*1.03,0)</f>
        <v>0</v>
      </c>
    </row>
    <row r="37" spans="1:6" ht="15.75" x14ac:dyDescent="0.25">
      <c r="A37" s="3" t="s">
        <v>35</v>
      </c>
      <c r="B37" s="4" t="s">
        <v>36</v>
      </c>
      <c r="C37" s="5" t="s">
        <v>3</v>
      </c>
      <c r="D37" s="5" t="s">
        <v>4</v>
      </c>
      <c r="E37" s="5" t="s">
        <v>0</v>
      </c>
      <c r="F37" s="10"/>
    </row>
    <row r="38" spans="1:6" x14ac:dyDescent="0.25">
      <c r="A38" s="8">
        <v>1</v>
      </c>
      <c r="B38" s="9" t="s">
        <v>37</v>
      </c>
      <c r="C38" s="8">
        <v>1</v>
      </c>
      <c r="D38" s="8">
        <f>28*0.5</f>
        <v>14</v>
      </c>
      <c r="E38" s="8">
        <f t="shared" ref="E38:E45" si="5">C38*D38</f>
        <v>14</v>
      </c>
      <c r="F38" s="10"/>
    </row>
    <row r="39" spans="1:6" x14ac:dyDescent="0.25">
      <c r="A39" s="2"/>
      <c r="B39" s="7" t="s">
        <v>38</v>
      </c>
      <c r="C39" s="2">
        <v>2</v>
      </c>
      <c r="D39" s="2">
        <v>2</v>
      </c>
      <c r="E39" s="2">
        <f t="shared" si="5"/>
        <v>4</v>
      </c>
      <c r="F39" s="10"/>
    </row>
    <row r="40" spans="1:6" x14ac:dyDescent="0.25">
      <c r="A40" s="2"/>
      <c r="B40" s="7" t="s">
        <v>39</v>
      </c>
      <c r="C40" s="2"/>
      <c r="D40" s="2">
        <v>0.5</v>
      </c>
      <c r="E40" s="2">
        <f t="shared" si="5"/>
        <v>0</v>
      </c>
      <c r="F40" s="10"/>
    </row>
    <row r="41" spans="1:6" x14ac:dyDescent="0.25">
      <c r="A41" s="2"/>
      <c r="B41" s="7" t="s">
        <v>40</v>
      </c>
      <c r="C41" s="2">
        <v>10</v>
      </c>
      <c r="D41" s="2">
        <v>1</v>
      </c>
      <c r="E41" s="2">
        <f t="shared" si="5"/>
        <v>10</v>
      </c>
      <c r="F41" s="10"/>
    </row>
    <row r="42" spans="1:6" x14ac:dyDescent="0.25">
      <c r="A42" s="2"/>
      <c r="B42" s="7" t="s">
        <v>41</v>
      </c>
      <c r="C42" s="2">
        <v>16</v>
      </c>
      <c r="D42" s="2">
        <f>6*0.5</f>
        <v>3</v>
      </c>
      <c r="E42" s="2">
        <f t="shared" si="5"/>
        <v>48</v>
      </c>
      <c r="F42" s="10"/>
    </row>
    <row r="43" spans="1:6" x14ac:dyDescent="0.25">
      <c r="A43" s="2"/>
      <c r="B43" s="7" t="s">
        <v>42</v>
      </c>
      <c r="C43" s="2"/>
      <c r="D43" s="2">
        <v>7</v>
      </c>
      <c r="E43" s="2">
        <f t="shared" si="5"/>
        <v>0</v>
      </c>
      <c r="F43" s="10"/>
    </row>
    <row r="44" spans="1:6" x14ac:dyDescent="0.25">
      <c r="A44" s="2"/>
      <c r="B44" s="7" t="s">
        <v>45</v>
      </c>
      <c r="C44" s="2">
        <v>2</v>
      </c>
      <c r="D44" s="2">
        <v>2</v>
      </c>
      <c r="E44" s="2">
        <f t="shared" si="5"/>
        <v>4</v>
      </c>
      <c r="F44" s="10"/>
    </row>
    <row r="45" spans="1:6" x14ac:dyDescent="0.25">
      <c r="A45" s="2">
        <v>2</v>
      </c>
      <c r="B45" s="7" t="s">
        <v>43</v>
      </c>
      <c r="C45" s="2"/>
      <c r="D45" s="2">
        <v>2</v>
      </c>
      <c r="E45" s="2">
        <f t="shared" si="5"/>
        <v>0</v>
      </c>
      <c r="F45" s="10"/>
    </row>
    <row r="46" spans="1:6" ht="18" x14ac:dyDescent="0.25">
      <c r="A46" s="13" t="s">
        <v>0</v>
      </c>
      <c r="B46" s="14"/>
      <c r="C46" s="16">
        <v>3.5</v>
      </c>
      <c r="D46" s="14"/>
      <c r="E46" s="2">
        <f>SUM(E38:E45)</f>
        <v>80</v>
      </c>
      <c r="F46" s="11">
        <f>ROUND((C46*E46)*1.03,0)</f>
        <v>288</v>
      </c>
    </row>
  </sheetData>
  <mergeCells count="9">
    <mergeCell ref="A36:B36"/>
    <mergeCell ref="C36:D36"/>
    <mergeCell ref="A46:B46"/>
    <mergeCell ref="C46:D46"/>
    <mergeCell ref="A1:E1"/>
    <mergeCell ref="A14:B14"/>
    <mergeCell ref="C14:D14"/>
    <mergeCell ref="A28:B28"/>
    <mergeCell ref="C28:D28"/>
  </mergeCells>
  <pageMargins left="0.7" right="0.7" top="0.75" bottom="0.75" header="0.3" footer="0.3"/>
  <pageSetup orientation="portrait" horizontalDpi="12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>
      <selection activeCell="I33" sqref="I33"/>
    </sheetView>
  </sheetViews>
  <sheetFormatPr defaultRowHeight="15" x14ac:dyDescent="0.25"/>
  <cols>
    <col min="2" max="2" width="41.140625" bestFit="1" customWidth="1"/>
  </cols>
  <sheetData>
    <row r="1" spans="1:6" x14ac:dyDescent="0.25">
      <c r="A1" s="17" t="s">
        <v>46</v>
      </c>
      <c r="B1" s="17"/>
      <c r="C1" s="17"/>
      <c r="D1" s="17"/>
      <c r="E1" s="17"/>
    </row>
    <row r="2" spans="1:6" ht="15.75" x14ac:dyDescent="0.25">
      <c r="A2" s="3" t="s">
        <v>1</v>
      </c>
      <c r="B2" s="4" t="s">
        <v>2</v>
      </c>
      <c r="C2" s="5" t="s">
        <v>3</v>
      </c>
      <c r="D2" s="5" t="s">
        <v>4</v>
      </c>
      <c r="E2" s="5" t="s">
        <v>0</v>
      </c>
      <c r="F2" s="6"/>
    </row>
    <row r="3" spans="1:6" x14ac:dyDescent="0.25">
      <c r="A3" s="2">
        <v>1</v>
      </c>
      <c r="B3" s="7" t="s">
        <v>5</v>
      </c>
      <c r="C3" s="2"/>
      <c r="D3" s="2">
        <f>1.5+0.3</f>
        <v>1.8</v>
      </c>
      <c r="E3" s="2">
        <f t="shared" ref="E3:E13" si="0">C3*D3</f>
        <v>0</v>
      </c>
      <c r="F3" s="6"/>
    </row>
    <row r="4" spans="1:6" x14ac:dyDescent="0.25">
      <c r="A4" s="2">
        <v>2</v>
      </c>
      <c r="B4" s="7" t="s">
        <v>6</v>
      </c>
      <c r="C4" s="2">
        <v>4</v>
      </c>
      <c r="D4" s="2">
        <f>2*3</f>
        <v>6</v>
      </c>
      <c r="E4" s="2">
        <f t="shared" si="0"/>
        <v>24</v>
      </c>
      <c r="F4" s="6"/>
    </row>
    <row r="5" spans="1:6" x14ac:dyDescent="0.25">
      <c r="A5" s="2">
        <v>3</v>
      </c>
      <c r="B5" s="7" t="s">
        <v>7</v>
      </c>
      <c r="C5" s="2">
        <v>1</v>
      </c>
      <c r="D5" s="2">
        <f>2*2.5</f>
        <v>5</v>
      </c>
      <c r="E5" s="2">
        <f t="shared" si="0"/>
        <v>5</v>
      </c>
      <c r="F5" s="6"/>
    </row>
    <row r="6" spans="1:6" x14ac:dyDescent="0.25">
      <c r="A6" s="2">
        <v>4</v>
      </c>
      <c r="B6" s="7" t="s">
        <v>8</v>
      </c>
      <c r="C6" s="2"/>
      <c r="D6" s="2">
        <v>2.75</v>
      </c>
      <c r="E6" s="2">
        <f t="shared" si="0"/>
        <v>0</v>
      </c>
      <c r="F6" s="6"/>
    </row>
    <row r="7" spans="1:6" x14ac:dyDescent="0.25">
      <c r="A7" s="2">
        <v>5</v>
      </c>
      <c r="B7" s="7" t="s">
        <v>9</v>
      </c>
      <c r="C7" s="2"/>
      <c r="D7" s="2">
        <f>2*6</f>
        <v>12</v>
      </c>
      <c r="E7" s="2">
        <f t="shared" si="0"/>
        <v>0</v>
      </c>
      <c r="F7" s="6"/>
    </row>
    <row r="8" spans="1:6" x14ac:dyDescent="0.25">
      <c r="A8" s="2">
        <v>6</v>
      </c>
      <c r="B8" s="7" t="s">
        <v>10</v>
      </c>
      <c r="C8" s="2"/>
      <c r="D8" s="2">
        <f>2*8</f>
        <v>16</v>
      </c>
      <c r="E8" s="2">
        <f t="shared" si="0"/>
        <v>0</v>
      </c>
      <c r="F8" s="6"/>
    </row>
    <row r="9" spans="1:6" x14ac:dyDescent="0.25">
      <c r="A9" s="2">
        <v>7</v>
      </c>
      <c r="B9" s="7" t="s">
        <v>11</v>
      </c>
      <c r="C9" s="2"/>
      <c r="D9" s="2">
        <v>2</v>
      </c>
      <c r="E9" s="2">
        <f t="shared" si="0"/>
        <v>0</v>
      </c>
      <c r="F9" s="6"/>
    </row>
    <row r="10" spans="1:6" x14ac:dyDescent="0.25">
      <c r="A10" s="8">
        <v>8</v>
      </c>
      <c r="B10" s="9" t="s">
        <v>12</v>
      </c>
      <c r="C10" s="8">
        <v>1</v>
      </c>
      <c r="D10" s="8">
        <f t="shared" ref="D10:D12" si="1">2*2.25</f>
        <v>4.5</v>
      </c>
      <c r="E10" s="8">
        <f t="shared" si="0"/>
        <v>4.5</v>
      </c>
      <c r="F10" s="6"/>
    </row>
    <row r="11" spans="1:6" x14ac:dyDescent="0.25">
      <c r="A11" s="8">
        <v>9</v>
      </c>
      <c r="B11" s="9" t="s">
        <v>13</v>
      </c>
      <c r="C11" s="8">
        <v>1</v>
      </c>
      <c r="D11" s="8">
        <f t="shared" si="1"/>
        <v>4.5</v>
      </c>
      <c r="E11" s="8">
        <f t="shared" si="0"/>
        <v>4.5</v>
      </c>
      <c r="F11" s="6"/>
    </row>
    <row r="12" spans="1:6" x14ac:dyDescent="0.25">
      <c r="A12" s="8">
        <v>10</v>
      </c>
      <c r="B12" s="9" t="s">
        <v>14</v>
      </c>
      <c r="C12" s="8">
        <v>1</v>
      </c>
      <c r="D12" s="8">
        <f t="shared" si="1"/>
        <v>4.5</v>
      </c>
      <c r="E12" s="8">
        <f t="shared" si="0"/>
        <v>4.5</v>
      </c>
      <c r="F12" s="6"/>
    </row>
    <row r="13" spans="1:6" x14ac:dyDescent="0.25">
      <c r="A13" s="8">
        <v>11</v>
      </c>
      <c r="B13" s="9" t="s">
        <v>15</v>
      </c>
      <c r="C13" s="8">
        <v>1</v>
      </c>
      <c r="D13" s="8">
        <f>2*0.5</f>
        <v>1</v>
      </c>
      <c r="E13" s="8">
        <f t="shared" si="0"/>
        <v>1</v>
      </c>
      <c r="F13" s="6"/>
    </row>
    <row r="14" spans="1:6" ht="18" x14ac:dyDescent="0.25">
      <c r="A14" s="13" t="s">
        <v>0</v>
      </c>
      <c r="B14" s="14"/>
      <c r="C14" s="16">
        <v>7.5</v>
      </c>
      <c r="D14" s="14"/>
      <c r="E14" s="2">
        <f>SUM(E3:E13)</f>
        <v>43.5</v>
      </c>
      <c r="F14" s="1">
        <f>ROUND((C14*E14)*1.03,0)</f>
        <v>336</v>
      </c>
    </row>
    <row r="15" spans="1:6" ht="15.75" x14ac:dyDescent="0.25">
      <c r="A15" s="3" t="s">
        <v>16</v>
      </c>
      <c r="B15" s="4" t="s">
        <v>17</v>
      </c>
      <c r="C15" s="5" t="s">
        <v>3</v>
      </c>
      <c r="D15" s="5" t="s">
        <v>4</v>
      </c>
      <c r="E15" s="5" t="s">
        <v>0</v>
      </c>
      <c r="F15" s="10"/>
    </row>
    <row r="16" spans="1:6" x14ac:dyDescent="0.25">
      <c r="A16" s="2">
        <v>1</v>
      </c>
      <c r="B16" s="7" t="s">
        <v>18</v>
      </c>
      <c r="C16" s="2"/>
      <c r="D16" s="2">
        <v>2</v>
      </c>
      <c r="E16" s="2">
        <f t="shared" ref="E16:E27" si="2">C16*D16</f>
        <v>0</v>
      </c>
      <c r="F16" s="10"/>
    </row>
    <row r="17" spans="1:6" x14ac:dyDescent="0.25">
      <c r="A17" s="2">
        <v>2</v>
      </c>
      <c r="B17" s="7" t="s">
        <v>19</v>
      </c>
      <c r="C17" s="2"/>
      <c r="D17" s="2">
        <v>2</v>
      </c>
      <c r="E17" s="2">
        <f t="shared" si="2"/>
        <v>0</v>
      </c>
      <c r="F17" s="10"/>
    </row>
    <row r="18" spans="1:6" x14ac:dyDescent="0.25">
      <c r="A18" s="2">
        <v>3</v>
      </c>
      <c r="B18" s="7" t="s">
        <v>20</v>
      </c>
      <c r="C18" s="2"/>
      <c r="D18" s="2">
        <v>1.9</v>
      </c>
      <c r="E18" s="2">
        <f t="shared" si="2"/>
        <v>0</v>
      </c>
      <c r="F18" s="10"/>
    </row>
    <row r="19" spans="1:6" x14ac:dyDescent="0.25">
      <c r="A19" s="2">
        <v>4</v>
      </c>
      <c r="B19" s="7" t="s">
        <v>21</v>
      </c>
      <c r="C19" s="2">
        <v>2</v>
      </c>
      <c r="D19" s="2">
        <v>2.75</v>
      </c>
      <c r="E19" s="2">
        <f t="shared" si="2"/>
        <v>5.5</v>
      </c>
      <c r="F19" s="10"/>
    </row>
    <row r="20" spans="1:6" x14ac:dyDescent="0.25">
      <c r="A20" s="2">
        <v>5</v>
      </c>
      <c r="B20" s="7" t="s">
        <v>22</v>
      </c>
      <c r="C20" s="2"/>
      <c r="D20" s="2">
        <v>1.8</v>
      </c>
      <c r="E20" s="2">
        <f t="shared" si="2"/>
        <v>0</v>
      </c>
      <c r="F20" s="10"/>
    </row>
    <row r="21" spans="1:6" x14ac:dyDescent="0.25">
      <c r="A21" s="2">
        <v>6</v>
      </c>
      <c r="B21" s="7" t="s">
        <v>23</v>
      </c>
      <c r="C21" s="2"/>
      <c r="D21" s="2">
        <v>1</v>
      </c>
      <c r="E21" s="2">
        <f t="shared" si="2"/>
        <v>0</v>
      </c>
      <c r="F21" s="10"/>
    </row>
    <row r="22" spans="1:6" x14ac:dyDescent="0.25">
      <c r="A22" s="2">
        <v>7</v>
      </c>
      <c r="B22" s="7" t="s">
        <v>24</v>
      </c>
      <c r="C22" s="2"/>
      <c r="D22" s="2">
        <v>5.5</v>
      </c>
      <c r="E22" s="2">
        <f t="shared" si="2"/>
        <v>0</v>
      </c>
      <c r="F22" s="10"/>
    </row>
    <row r="23" spans="1:6" x14ac:dyDescent="0.25">
      <c r="A23" s="2">
        <v>8</v>
      </c>
      <c r="B23" s="7" t="s">
        <v>45</v>
      </c>
      <c r="C23" s="2">
        <v>2</v>
      </c>
      <c r="D23" s="2">
        <v>6.36</v>
      </c>
      <c r="E23" s="2">
        <f t="shared" si="2"/>
        <v>12.72</v>
      </c>
      <c r="F23" s="10"/>
    </row>
    <row r="24" spans="1:6" x14ac:dyDescent="0.25">
      <c r="A24" s="8">
        <v>9</v>
      </c>
      <c r="B24" s="9" t="s">
        <v>26</v>
      </c>
      <c r="C24" s="8">
        <v>1</v>
      </c>
      <c r="D24" s="8">
        <f t="shared" ref="D24:D25" si="3">2*2.25</f>
        <v>4.5</v>
      </c>
      <c r="E24" s="8">
        <f t="shared" si="2"/>
        <v>4.5</v>
      </c>
      <c r="F24" s="10"/>
    </row>
    <row r="25" spans="1:6" x14ac:dyDescent="0.25">
      <c r="A25" s="8">
        <v>10</v>
      </c>
      <c r="B25" s="9" t="s">
        <v>27</v>
      </c>
      <c r="C25" s="8">
        <v>1</v>
      </c>
      <c r="D25" s="8">
        <f t="shared" si="3"/>
        <v>4.5</v>
      </c>
      <c r="E25" s="8">
        <f t="shared" si="2"/>
        <v>4.5</v>
      </c>
      <c r="F25" s="10"/>
    </row>
    <row r="26" spans="1:6" x14ac:dyDescent="0.25">
      <c r="A26" s="8">
        <v>11</v>
      </c>
      <c r="B26" s="9" t="s">
        <v>28</v>
      </c>
      <c r="C26" s="8">
        <v>1</v>
      </c>
      <c r="D26" s="8">
        <f>2*0.5</f>
        <v>1</v>
      </c>
      <c r="E26" s="8">
        <f t="shared" si="2"/>
        <v>1</v>
      </c>
      <c r="F26" s="10"/>
    </row>
    <row r="27" spans="1:6" x14ac:dyDescent="0.25">
      <c r="A27" s="8">
        <v>12</v>
      </c>
      <c r="B27" s="9" t="s">
        <v>29</v>
      </c>
      <c r="C27" s="8"/>
      <c r="D27" s="8">
        <v>2.25</v>
      </c>
      <c r="E27" s="8">
        <f t="shared" si="2"/>
        <v>0</v>
      </c>
      <c r="F27" s="10"/>
    </row>
    <row r="28" spans="1:6" ht="20.25" x14ac:dyDescent="0.25">
      <c r="A28" s="18" t="s">
        <v>0</v>
      </c>
      <c r="B28" s="14"/>
      <c r="C28" s="16">
        <v>6.5</v>
      </c>
      <c r="D28" s="14"/>
      <c r="E28" s="2">
        <f>SUM(E16:E27)</f>
        <v>28.22</v>
      </c>
      <c r="F28" s="11">
        <f>ROUND((C28*E28)*1.03,0)</f>
        <v>189</v>
      </c>
    </row>
    <row r="29" spans="1:6" ht="15.75" x14ac:dyDescent="0.25">
      <c r="A29" s="3" t="s">
        <v>30</v>
      </c>
      <c r="B29" s="4" t="s">
        <v>31</v>
      </c>
      <c r="C29" s="5" t="s">
        <v>3</v>
      </c>
      <c r="D29" s="5" t="s">
        <v>4</v>
      </c>
      <c r="E29" s="5" t="s">
        <v>0</v>
      </c>
      <c r="F29" s="10"/>
    </row>
    <row r="30" spans="1:6" x14ac:dyDescent="0.25">
      <c r="A30" s="2">
        <v>1</v>
      </c>
      <c r="B30" s="7" t="s">
        <v>18</v>
      </c>
      <c r="C30" s="2"/>
      <c r="D30" s="2">
        <v>2.5</v>
      </c>
      <c r="E30" s="2">
        <f t="shared" ref="E30:E35" si="4">C30*D30</f>
        <v>0</v>
      </c>
      <c r="F30" s="10"/>
    </row>
    <row r="31" spans="1:6" x14ac:dyDescent="0.25">
      <c r="A31" s="2">
        <v>2</v>
      </c>
      <c r="B31" s="7" t="s">
        <v>32</v>
      </c>
      <c r="C31" s="2"/>
      <c r="D31" s="2">
        <v>2.5</v>
      </c>
      <c r="E31" s="2">
        <f t="shared" si="4"/>
        <v>0</v>
      </c>
      <c r="F31" s="10"/>
    </row>
    <row r="32" spans="1:6" x14ac:dyDescent="0.25">
      <c r="A32" s="2">
        <v>3</v>
      </c>
      <c r="B32" s="7" t="s">
        <v>33</v>
      </c>
      <c r="C32" s="2"/>
      <c r="D32" s="2">
        <v>2.5</v>
      </c>
      <c r="E32" s="2">
        <f t="shared" si="4"/>
        <v>0</v>
      </c>
      <c r="F32" s="10"/>
    </row>
    <row r="33" spans="1:6" x14ac:dyDescent="0.25">
      <c r="A33" s="2">
        <v>4</v>
      </c>
      <c r="B33" s="7" t="s">
        <v>34</v>
      </c>
      <c r="C33" s="2"/>
      <c r="D33" s="2">
        <f>2.5*2</f>
        <v>5</v>
      </c>
      <c r="E33" s="2">
        <f t="shared" si="4"/>
        <v>0</v>
      </c>
      <c r="F33" s="10"/>
    </row>
    <row r="34" spans="1:6" x14ac:dyDescent="0.25">
      <c r="A34" s="2">
        <v>5</v>
      </c>
      <c r="B34" s="7" t="s">
        <v>27</v>
      </c>
      <c r="C34" s="2"/>
      <c r="D34" s="2">
        <v>5</v>
      </c>
      <c r="E34" s="2">
        <f t="shared" si="4"/>
        <v>0</v>
      </c>
      <c r="F34" s="10"/>
    </row>
    <row r="35" spans="1:6" x14ac:dyDescent="0.25">
      <c r="A35" s="2">
        <v>6</v>
      </c>
      <c r="B35" s="7" t="s">
        <v>25</v>
      </c>
      <c r="C35" s="2"/>
      <c r="D35" s="2">
        <v>2</v>
      </c>
      <c r="E35" s="2">
        <f t="shared" si="4"/>
        <v>0</v>
      </c>
      <c r="F35" s="10"/>
    </row>
    <row r="36" spans="1:6" ht="18" x14ac:dyDescent="0.25">
      <c r="A36" s="13" t="s">
        <v>0</v>
      </c>
      <c r="B36" s="14"/>
      <c r="C36" s="15">
        <v>5</v>
      </c>
      <c r="D36" s="14"/>
      <c r="E36" s="2">
        <f>SUM(E30:E35)</f>
        <v>0</v>
      </c>
      <c r="F36" s="11">
        <f>ROUND((C36*E36)*1.03,0)</f>
        <v>0</v>
      </c>
    </row>
    <row r="37" spans="1:6" ht="15.75" x14ac:dyDescent="0.25">
      <c r="A37" s="3" t="s">
        <v>35</v>
      </c>
      <c r="B37" s="4" t="s">
        <v>36</v>
      </c>
      <c r="C37" s="5" t="s">
        <v>3</v>
      </c>
      <c r="D37" s="5" t="s">
        <v>4</v>
      </c>
      <c r="E37" s="5" t="s">
        <v>0</v>
      </c>
      <c r="F37" s="10"/>
    </row>
    <row r="38" spans="1:6" x14ac:dyDescent="0.25">
      <c r="A38" s="8">
        <v>1</v>
      </c>
      <c r="B38" s="9" t="s">
        <v>37</v>
      </c>
      <c r="C38" s="8">
        <v>1</v>
      </c>
      <c r="D38" s="8">
        <f>28*0.5</f>
        <v>14</v>
      </c>
      <c r="E38" s="8">
        <f t="shared" ref="E38:E45" si="5">C38*D38</f>
        <v>14</v>
      </c>
      <c r="F38" s="10"/>
    </row>
    <row r="39" spans="1:6" x14ac:dyDescent="0.25">
      <c r="A39" s="2"/>
      <c r="B39" s="7" t="s">
        <v>38</v>
      </c>
      <c r="C39" s="2">
        <v>1</v>
      </c>
      <c r="D39" s="2">
        <v>2</v>
      </c>
      <c r="E39" s="2">
        <f t="shared" si="5"/>
        <v>2</v>
      </c>
      <c r="F39" s="10"/>
    </row>
    <row r="40" spans="1:6" x14ac:dyDescent="0.25">
      <c r="A40" s="2"/>
      <c r="B40" s="7" t="s">
        <v>39</v>
      </c>
      <c r="C40" s="2"/>
      <c r="D40" s="2">
        <v>2</v>
      </c>
      <c r="E40" s="2">
        <f t="shared" si="5"/>
        <v>0</v>
      </c>
      <c r="F40" s="10"/>
    </row>
    <row r="41" spans="1:6" x14ac:dyDescent="0.25">
      <c r="A41" s="2"/>
      <c r="B41" s="7" t="s">
        <v>40</v>
      </c>
      <c r="C41" s="2"/>
      <c r="D41" s="2">
        <v>1</v>
      </c>
      <c r="E41" s="2">
        <f t="shared" si="5"/>
        <v>0</v>
      </c>
      <c r="F41" s="10"/>
    </row>
    <row r="42" spans="1:6" x14ac:dyDescent="0.25">
      <c r="A42" s="2"/>
      <c r="B42" s="7" t="s">
        <v>41</v>
      </c>
      <c r="C42" s="2">
        <v>4</v>
      </c>
      <c r="D42" s="2">
        <f>6*0.5</f>
        <v>3</v>
      </c>
      <c r="E42" s="2">
        <f t="shared" si="5"/>
        <v>12</v>
      </c>
      <c r="F42" s="10"/>
    </row>
    <row r="43" spans="1:6" x14ac:dyDescent="0.25">
      <c r="A43" s="2"/>
      <c r="B43" s="7" t="s">
        <v>44</v>
      </c>
      <c r="C43" s="2">
        <v>3</v>
      </c>
      <c r="D43" s="2">
        <v>0.5</v>
      </c>
      <c r="E43" s="2">
        <f t="shared" si="5"/>
        <v>1.5</v>
      </c>
      <c r="F43" s="10"/>
    </row>
    <row r="44" spans="1:6" x14ac:dyDescent="0.25">
      <c r="A44" s="2"/>
      <c r="B44" s="7" t="s">
        <v>45</v>
      </c>
      <c r="C44" s="2">
        <v>2</v>
      </c>
      <c r="D44" s="2">
        <v>2</v>
      </c>
      <c r="E44" s="2">
        <f t="shared" si="5"/>
        <v>4</v>
      </c>
      <c r="F44" s="10"/>
    </row>
    <row r="45" spans="1:6" x14ac:dyDescent="0.25">
      <c r="A45" s="2">
        <v>2</v>
      </c>
      <c r="B45" s="7" t="s">
        <v>43</v>
      </c>
      <c r="C45" s="2">
        <v>2</v>
      </c>
      <c r="D45" s="2">
        <v>2</v>
      </c>
      <c r="E45" s="2">
        <f t="shared" si="5"/>
        <v>4</v>
      </c>
      <c r="F45" s="10"/>
    </row>
    <row r="46" spans="1:6" ht="18" x14ac:dyDescent="0.25">
      <c r="A46" s="13" t="s">
        <v>0</v>
      </c>
      <c r="B46" s="14"/>
      <c r="C46" s="16">
        <v>3.5</v>
      </c>
      <c r="D46" s="14"/>
      <c r="E46" s="2">
        <f>SUM(E38:E45)</f>
        <v>37.5</v>
      </c>
      <c r="F46" s="11">
        <f>ROUND((C46*E46)*1.03,0)</f>
        <v>135</v>
      </c>
    </row>
  </sheetData>
  <mergeCells count="9">
    <mergeCell ref="A46:B46"/>
    <mergeCell ref="C46:D46"/>
    <mergeCell ref="A1:E1"/>
    <mergeCell ref="A14:B14"/>
    <mergeCell ref="C14:D14"/>
    <mergeCell ref="A28:B28"/>
    <mergeCell ref="C28:D28"/>
    <mergeCell ref="A36:B36"/>
    <mergeCell ref="C36:D3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tabSelected="1" topLeftCell="A21" workbookViewId="0">
      <selection activeCell="C23" sqref="C23"/>
    </sheetView>
  </sheetViews>
  <sheetFormatPr defaultRowHeight="15" x14ac:dyDescent="0.25"/>
  <cols>
    <col min="2" max="2" width="41.140625" bestFit="1" customWidth="1"/>
  </cols>
  <sheetData>
    <row r="1" spans="1:6" x14ac:dyDescent="0.25">
      <c r="A1" s="17" t="s">
        <v>49</v>
      </c>
      <c r="B1" s="17"/>
      <c r="C1" s="17"/>
      <c r="D1" s="17"/>
      <c r="E1" s="17"/>
    </row>
    <row r="2" spans="1:6" ht="15.75" x14ac:dyDescent="0.25">
      <c r="A2" s="3" t="s">
        <v>1</v>
      </c>
      <c r="B2" s="4" t="s">
        <v>2</v>
      </c>
      <c r="C2" s="5" t="s">
        <v>3</v>
      </c>
      <c r="D2" s="5" t="s">
        <v>4</v>
      </c>
      <c r="E2" s="5" t="s">
        <v>0</v>
      </c>
      <c r="F2" s="6"/>
    </row>
    <row r="3" spans="1:6" x14ac:dyDescent="0.25">
      <c r="A3" s="2">
        <v>1</v>
      </c>
      <c r="B3" s="7" t="s">
        <v>5</v>
      </c>
      <c r="C3" s="2"/>
      <c r="D3" s="2">
        <f>1.5+0.3</f>
        <v>1.8</v>
      </c>
      <c r="E3" s="2">
        <f t="shared" ref="E3:E13" si="0">C3*D3</f>
        <v>0</v>
      </c>
      <c r="F3" s="6"/>
    </row>
    <row r="4" spans="1:6" x14ac:dyDescent="0.25">
      <c r="A4" s="2">
        <v>2</v>
      </c>
      <c r="B4" s="7" t="s">
        <v>6</v>
      </c>
      <c r="C4" s="2"/>
      <c r="D4" s="2">
        <f>2*3</f>
        <v>6</v>
      </c>
      <c r="E4" s="2">
        <f t="shared" si="0"/>
        <v>0</v>
      </c>
      <c r="F4" s="6"/>
    </row>
    <row r="5" spans="1:6" x14ac:dyDescent="0.25">
      <c r="A5" s="2">
        <v>3</v>
      </c>
      <c r="B5" s="7" t="s">
        <v>7</v>
      </c>
      <c r="C5" s="2"/>
      <c r="D5" s="2">
        <f>2*2.5</f>
        <v>5</v>
      </c>
      <c r="E5" s="2">
        <f t="shared" si="0"/>
        <v>0</v>
      </c>
      <c r="F5" s="6"/>
    </row>
    <row r="6" spans="1:6" x14ac:dyDescent="0.25">
      <c r="A6" s="2">
        <v>4</v>
      </c>
      <c r="B6" s="7" t="s">
        <v>8</v>
      </c>
      <c r="C6" s="2"/>
      <c r="D6" s="2">
        <v>2.75</v>
      </c>
      <c r="E6" s="2">
        <f t="shared" si="0"/>
        <v>0</v>
      </c>
      <c r="F6" s="6"/>
    </row>
    <row r="7" spans="1:6" x14ac:dyDescent="0.25">
      <c r="A7" s="2">
        <v>5</v>
      </c>
      <c r="B7" s="7" t="s">
        <v>9</v>
      </c>
      <c r="C7" s="2"/>
      <c r="D7" s="2">
        <f>2*6</f>
        <v>12</v>
      </c>
      <c r="E7" s="2">
        <f t="shared" si="0"/>
        <v>0</v>
      </c>
      <c r="F7" s="6"/>
    </row>
    <row r="8" spans="1:6" x14ac:dyDescent="0.25">
      <c r="A8" s="2">
        <v>6</v>
      </c>
      <c r="B8" s="7" t="s">
        <v>10</v>
      </c>
      <c r="C8" s="2"/>
      <c r="D8" s="2">
        <f>2*8</f>
        <v>16</v>
      </c>
      <c r="E8" s="2">
        <f t="shared" si="0"/>
        <v>0</v>
      </c>
      <c r="F8" s="6"/>
    </row>
    <row r="9" spans="1:6" x14ac:dyDescent="0.25">
      <c r="A9" s="2">
        <v>7</v>
      </c>
      <c r="B9" s="7" t="s">
        <v>11</v>
      </c>
      <c r="C9" s="2">
        <v>2</v>
      </c>
      <c r="D9" s="2">
        <v>2</v>
      </c>
      <c r="E9" s="2">
        <f t="shared" si="0"/>
        <v>4</v>
      </c>
      <c r="F9" s="6"/>
    </row>
    <row r="10" spans="1:6" x14ac:dyDescent="0.25">
      <c r="A10" s="8">
        <v>8</v>
      </c>
      <c r="B10" s="9" t="s">
        <v>12</v>
      </c>
      <c r="C10" s="8">
        <v>1</v>
      </c>
      <c r="D10" s="8">
        <f t="shared" ref="D10:D12" si="1">2*2.25</f>
        <v>4.5</v>
      </c>
      <c r="E10" s="8">
        <f t="shared" si="0"/>
        <v>4.5</v>
      </c>
      <c r="F10" s="6"/>
    </row>
    <row r="11" spans="1:6" x14ac:dyDescent="0.25">
      <c r="A11" s="8">
        <v>9</v>
      </c>
      <c r="B11" s="9" t="s">
        <v>13</v>
      </c>
      <c r="C11" s="8">
        <v>1</v>
      </c>
      <c r="D11" s="8">
        <f t="shared" si="1"/>
        <v>4.5</v>
      </c>
      <c r="E11" s="8">
        <f t="shared" si="0"/>
        <v>4.5</v>
      </c>
      <c r="F11" s="6"/>
    </row>
    <row r="12" spans="1:6" x14ac:dyDescent="0.25">
      <c r="A12" s="8">
        <v>10</v>
      </c>
      <c r="B12" s="9" t="s">
        <v>14</v>
      </c>
      <c r="C12" s="8">
        <v>1</v>
      </c>
      <c r="D12" s="8">
        <f t="shared" si="1"/>
        <v>4.5</v>
      </c>
      <c r="E12" s="8">
        <f t="shared" si="0"/>
        <v>4.5</v>
      </c>
      <c r="F12" s="6"/>
    </row>
    <row r="13" spans="1:6" x14ac:dyDescent="0.25">
      <c r="A13" s="8">
        <v>11</v>
      </c>
      <c r="B13" s="9" t="s">
        <v>15</v>
      </c>
      <c r="C13" s="8">
        <v>1</v>
      </c>
      <c r="D13" s="8">
        <f>2*0.5</f>
        <v>1</v>
      </c>
      <c r="E13" s="8">
        <f t="shared" si="0"/>
        <v>1</v>
      </c>
      <c r="F13" s="6"/>
    </row>
    <row r="14" spans="1:6" ht="18" x14ac:dyDescent="0.25">
      <c r="A14" s="13" t="s">
        <v>0</v>
      </c>
      <c r="B14" s="14"/>
      <c r="C14" s="16">
        <v>7.5</v>
      </c>
      <c r="D14" s="14"/>
      <c r="E14" s="2">
        <f>SUM(E3:E13)</f>
        <v>18.5</v>
      </c>
      <c r="F14" s="1">
        <f>ROUND((C14*E14)*1.03,0)</f>
        <v>143</v>
      </c>
    </row>
    <row r="15" spans="1:6" ht="15.75" x14ac:dyDescent="0.25">
      <c r="A15" s="3" t="s">
        <v>16</v>
      </c>
      <c r="B15" s="4" t="s">
        <v>17</v>
      </c>
      <c r="C15" s="5" t="s">
        <v>3</v>
      </c>
      <c r="D15" s="5" t="s">
        <v>4</v>
      </c>
      <c r="E15" s="5" t="s">
        <v>0</v>
      </c>
      <c r="F15" s="10"/>
    </row>
    <row r="16" spans="1:6" x14ac:dyDescent="0.25">
      <c r="A16" s="2">
        <v>1</v>
      </c>
      <c r="B16" s="7" t="s">
        <v>18</v>
      </c>
      <c r="C16" s="2"/>
      <c r="D16" s="2">
        <v>2</v>
      </c>
      <c r="E16" s="2">
        <f t="shared" ref="E16:E27" si="2">C16*D16</f>
        <v>0</v>
      </c>
      <c r="F16" s="10"/>
    </row>
    <row r="17" spans="1:6" x14ac:dyDescent="0.25">
      <c r="A17" s="2">
        <v>2</v>
      </c>
      <c r="B17" s="7" t="s">
        <v>19</v>
      </c>
      <c r="C17" s="2"/>
      <c r="D17" s="2">
        <v>2</v>
      </c>
      <c r="E17" s="2">
        <f t="shared" si="2"/>
        <v>0</v>
      </c>
      <c r="F17" s="10"/>
    </row>
    <row r="18" spans="1:6" x14ac:dyDescent="0.25">
      <c r="A18" s="2">
        <v>3</v>
      </c>
      <c r="B18" s="7" t="s">
        <v>20</v>
      </c>
      <c r="C18" s="2"/>
      <c r="D18" s="2">
        <v>1.9</v>
      </c>
      <c r="E18" s="2">
        <f t="shared" si="2"/>
        <v>0</v>
      </c>
      <c r="F18" s="10"/>
    </row>
    <row r="19" spans="1:6" x14ac:dyDescent="0.25">
      <c r="A19" s="2">
        <v>4</v>
      </c>
      <c r="B19" s="7" t="s">
        <v>21</v>
      </c>
      <c r="C19" s="2"/>
      <c r="D19" s="2">
        <v>2.75</v>
      </c>
      <c r="E19" s="2">
        <f t="shared" si="2"/>
        <v>0</v>
      </c>
      <c r="F19" s="10"/>
    </row>
    <row r="20" spans="1:6" x14ac:dyDescent="0.25">
      <c r="A20" s="2">
        <v>5</v>
      </c>
      <c r="B20" s="7" t="s">
        <v>22</v>
      </c>
      <c r="C20" s="2"/>
      <c r="D20" s="2">
        <v>1.8</v>
      </c>
      <c r="E20" s="2">
        <f t="shared" si="2"/>
        <v>0</v>
      </c>
      <c r="F20" s="10"/>
    </row>
    <row r="21" spans="1:6" x14ac:dyDescent="0.25">
      <c r="A21" s="2">
        <v>6</v>
      </c>
      <c r="B21" s="7" t="s">
        <v>23</v>
      </c>
      <c r="C21" s="2"/>
      <c r="D21" s="2">
        <v>1</v>
      </c>
      <c r="E21" s="2">
        <f t="shared" si="2"/>
        <v>0</v>
      </c>
      <c r="F21" s="10"/>
    </row>
    <row r="22" spans="1:6" x14ac:dyDescent="0.25">
      <c r="A22" s="2">
        <v>7</v>
      </c>
      <c r="B22" s="7" t="s">
        <v>24</v>
      </c>
      <c r="C22" s="2"/>
      <c r="D22" s="2">
        <v>5.5</v>
      </c>
      <c r="E22" s="2">
        <f t="shared" si="2"/>
        <v>0</v>
      </c>
      <c r="F22" s="10"/>
    </row>
    <row r="23" spans="1:6" x14ac:dyDescent="0.25">
      <c r="A23" s="12" t="s">
        <v>48</v>
      </c>
      <c r="B23" s="7" t="s">
        <v>45</v>
      </c>
      <c r="C23" s="2"/>
      <c r="D23" s="2">
        <v>6.36</v>
      </c>
      <c r="E23" s="2">
        <f t="shared" si="2"/>
        <v>0</v>
      </c>
      <c r="F23" s="10"/>
    </row>
    <row r="24" spans="1:6" x14ac:dyDescent="0.25">
      <c r="A24" s="8">
        <v>9</v>
      </c>
      <c r="B24" s="9" t="s">
        <v>26</v>
      </c>
      <c r="C24" s="8">
        <v>1</v>
      </c>
      <c r="D24" s="8">
        <f t="shared" ref="D24:D25" si="3">2*2.25</f>
        <v>4.5</v>
      </c>
      <c r="E24" s="8">
        <f t="shared" si="2"/>
        <v>4.5</v>
      </c>
      <c r="F24" s="10"/>
    </row>
    <row r="25" spans="1:6" x14ac:dyDescent="0.25">
      <c r="A25" s="8">
        <v>10</v>
      </c>
      <c r="B25" s="9" t="s">
        <v>27</v>
      </c>
      <c r="C25" s="8">
        <v>1</v>
      </c>
      <c r="D25" s="8">
        <f t="shared" si="3"/>
        <v>4.5</v>
      </c>
      <c r="E25" s="8">
        <f t="shared" si="2"/>
        <v>4.5</v>
      </c>
      <c r="F25" s="10"/>
    </row>
    <row r="26" spans="1:6" x14ac:dyDescent="0.25">
      <c r="A26" s="8">
        <v>11</v>
      </c>
      <c r="B26" s="9" t="s">
        <v>28</v>
      </c>
      <c r="C26" s="8">
        <v>1</v>
      </c>
      <c r="D26" s="8">
        <f>2*0.5</f>
        <v>1</v>
      </c>
      <c r="E26" s="8">
        <f t="shared" si="2"/>
        <v>1</v>
      </c>
      <c r="F26" s="10"/>
    </row>
    <row r="27" spans="1:6" x14ac:dyDescent="0.25">
      <c r="A27" s="8">
        <v>12</v>
      </c>
      <c r="B27" s="9" t="s">
        <v>29</v>
      </c>
      <c r="C27" s="8">
        <v>1</v>
      </c>
      <c r="D27" s="8">
        <v>2.25</v>
      </c>
      <c r="E27" s="8">
        <f t="shared" si="2"/>
        <v>2.25</v>
      </c>
      <c r="F27" s="10"/>
    </row>
    <row r="28" spans="1:6" ht="20.25" x14ac:dyDescent="0.25">
      <c r="A28" s="18" t="s">
        <v>0</v>
      </c>
      <c r="B28" s="14"/>
      <c r="C28" s="16">
        <v>6.5</v>
      </c>
      <c r="D28" s="14"/>
      <c r="E28" s="2">
        <f>SUM(E16:E27)</f>
        <v>12.25</v>
      </c>
      <c r="F28" s="11">
        <f>ROUND((C28*E28)*1.03,0)</f>
        <v>82</v>
      </c>
    </row>
    <row r="29" spans="1:6" ht="15.75" x14ac:dyDescent="0.25">
      <c r="A29" s="3" t="s">
        <v>30</v>
      </c>
      <c r="B29" s="4" t="s">
        <v>31</v>
      </c>
      <c r="C29" s="5" t="s">
        <v>3</v>
      </c>
      <c r="D29" s="5" t="s">
        <v>4</v>
      </c>
      <c r="E29" s="5" t="s">
        <v>0</v>
      </c>
      <c r="F29" s="10"/>
    </row>
    <row r="30" spans="1:6" x14ac:dyDescent="0.25">
      <c r="A30" s="2">
        <v>1</v>
      </c>
      <c r="B30" s="7" t="s">
        <v>18</v>
      </c>
      <c r="C30" s="2"/>
      <c r="D30" s="2">
        <v>2.5</v>
      </c>
      <c r="E30" s="2">
        <f t="shared" ref="E30:E35" si="4">C30*D30</f>
        <v>0</v>
      </c>
      <c r="F30" s="10"/>
    </row>
    <row r="31" spans="1:6" x14ac:dyDescent="0.25">
      <c r="A31" s="2">
        <v>2</v>
      </c>
      <c r="B31" s="7" t="s">
        <v>32</v>
      </c>
      <c r="C31" s="2"/>
      <c r="D31" s="2">
        <v>2.5</v>
      </c>
      <c r="E31" s="2">
        <f t="shared" si="4"/>
        <v>0</v>
      </c>
      <c r="F31" s="10"/>
    </row>
    <row r="32" spans="1:6" x14ac:dyDescent="0.25">
      <c r="A32" s="2">
        <v>3</v>
      </c>
      <c r="B32" s="7" t="s">
        <v>33</v>
      </c>
      <c r="C32" s="2"/>
      <c r="D32" s="2">
        <v>2.5</v>
      </c>
      <c r="E32" s="2">
        <f t="shared" si="4"/>
        <v>0</v>
      </c>
      <c r="F32" s="10"/>
    </row>
    <row r="33" spans="1:6" x14ac:dyDescent="0.25">
      <c r="A33" s="2">
        <v>4</v>
      </c>
      <c r="B33" s="7" t="s">
        <v>34</v>
      </c>
      <c r="C33" s="2"/>
      <c r="D33" s="2">
        <f>2.5*2</f>
        <v>5</v>
      </c>
      <c r="E33" s="2">
        <f t="shared" si="4"/>
        <v>0</v>
      </c>
      <c r="F33" s="10"/>
    </row>
    <row r="34" spans="1:6" x14ac:dyDescent="0.25">
      <c r="A34" s="2">
        <v>5</v>
      </c>
      <c r="B34" s="7" t="s">
        <v>27</v>
      </c>
      <c r="C34" s="2"/>
      <c r="D34" s="2">
        <v>5</v>
      </c>
      <c r="E34" s="2">
        <f t="shared" si="4"/>
        <v>0</v>
      </c>
      <c r="F34" s="10"/>
    </row>
    <row r="35" spans="1:6" x14ac:dyDescent="0.25">
      <c r="A35" s="2">
        <v>6</v>
      </c>
      <c r="B35" s="7" t="s">
        <v>25</v>
      </c>
      <c r="C35" s="2"/>
      <c r="D35" s="2">
        <v>2</v>
      </c>
      <c r="E35" s="2">
        <f t="shared" si="4"/>
        <v>0</v>
      </c>
      <c r="F35" s="10"/>
    </row>
    <row r="36" spans="1:6" ht="18" x14ac:dyDescent="0.25">
      <c r="A36" s="13" t="s">
        <v>0</v>
      </c>
      <c r="B36" s="14"/>
      <c r="C36" s="15">
        <v>5</v>
      </c>
      <c r="D36" s="14"/>
      <c r="E36" s="2">
        <f>SUM(E30:E35)</f>
        <v>0</v>
      </c>
      <c r="F36" s="11">
        <f>ROUND((C36*E36)*1.03,0)</f>
        <v>0</v>
      </c>
    </row>
    <row r="37" spans="1:6" ht="15.75" x14ac:dyDescent="0.25">
      <c r="A37" s="3" t="s">
        <v>35</v>
      </c>
      <c r="B37" s="4" t="s">
        <v>36</v>
      </c>
      <c r="C37" s="5" t="s">
        <v>3</v>
      </c>
      <c r="D37" s="5" t="s">
        <v>4</v>
      </c>
      <c r="E37" s="5" t="s">
        <v>0</v>
      </c>
      <c r="F37" s="10"/>
    </row>
    <row r="38" spans="1:6" x14ac:dyDescent="0.25">
      <c r="A38" s="8">
        <v>1</v>
      </c>
      <c r="B38" s="9" t="s">
        <v>37</v>
      </c>
      <c r="C38" s="8">
        <v>1</v>
      </c>
      <c r="D38" s="8">
        <f>28*0.5</f>
        <v>14</v>
      </c>
      <c r="E38" s="8">
        <f t="shared" ref="E38:E45" si="5">C38*D38</f>
        <v>14</v>
      </c>
      <c r="F38" s="10"/>
    </row>
    <row r="39" spans="1:6" x14ac:dyDescent="0.25">
      <c r="A39" s="2"/>
      <c r="B39" s="7" t="s">
        <v>38</v>
      </c>
      <c r="C39" s="2"/>
      <c r="D39" s="2">
        <v>3</v>
      </c>
      <c r="E39" s="2">
        <f t="shared" si="5"/>
        <v>0</v>
      </c>
      <c r="F39" s="10"/>
    </row>
    <row r="40" spans="1:6" x14ac:dyDescent="0.25">
      <c r="A40" s="2"/>
      <c r="B40" s="7" t="s">
        <v>39</v>
      </c>
      <c r="C40" s="2"/>
      <c r="D40" s="2">
        <v>1.5</v>
      </c>
      <c r="E40" s="2">
        <f t="shared" si="5"/>
        <v>0</v>
      </c>
      <c r="F40" s="10"/>
    </row>
    <row r="41" spans="1:6" x14ac:dyDescent="0.25">
      <c r="A41" s="2"/>
      <c r="B41" s="7" t="s">
        <v>40</v>
      </c>
      <c r="C41" s="2"/>
      <c r="D41" s="2">
        <v>1</v>
      </c>
      <c r="E41" s="2">
        <f t="shared" si="5"/>
        <v>0</v>
      </c>
      <c r="F41" s="10"/>
    </row>
    <row r="42" spans="1:6" x14ac:dyDescent="0.25">
      <c r="A42" s="2"/>
      <c r="B42" s="7" t="s">
        <v>41</v>
      </c>
      <c r="C42" s="2"/>
      <c r="D42" s="2">
        <f>6*0.5</f>
        <v>3</v>
      </c>
      <c r="E42" s="2">
        <f t="shared" si="5"/>
        <v>0</v>
      </c>
      <c r="F42" s="10"/>
    </row>
    <row r="43" spans="1:6" x14ac:dyDescent="0.25">
      <c r="A43" s="2"/>
      <c r="B43" s="7" t="s">
        <v>44</v>
      </c>
      <c r="C43" s="2">
        <v>2</v>
      </c>
      <c r="D43" s="2">
        <v>0.5</v>
      </c>
      <c r="E43" s="2">
        <f t="shared" si="5"/>
        <v>1</v>
      </c>
      <c r="F43" s="10"/>
    </row>
    <row r="44" spans="1:6" x14ac:dyDescent="0.25">
      <c r="A44" s="2"/>
      <c r="B44" s="7" t="s">
        <v>45</v>
      </c>
      <c r="C44" s="2"/>
      <c r="D44" s="2">
        <v>2</v>
      </c>
      <c r="E44" s="2">
        <f t="shared" si="5"/>
        <v>0</v>
      </c>
      <c r="F44" s="10"/>
    </row>
    <row r="45" spans="1:6" x14ac:dyDescent="0.25">
      <c r="A45" s="2">
        <v>2</v>
      </c>
      <c r="B45" s="7" t="s">
        <v>43</v>
      </c>
      <c r="C45" s="2">
        <v>12</v>
      </c>
      <c r="D45" s="2">
        <v>1</v>
      </c>
      <c r="E45" s="2">
        <f t="shared" si="5"/>
        <v>12</v>
      </c>
      <c r="F45" s="10"/>
    </row>
    <row r="46" spans="1:6" ht="18" x14ac:dyDescent="0.25">
      <c r="A46" s="13" t="s">
        <v>0</v>
      </c>
      <c r="B46" s="14"/>
      <c r="C46" s="16">
        <v>3.5</v>
      </c>
      <c r="D46" s="14"/>
      <c r="E46" s="2">
        <f>SUM(E38:E45)</f>
        <v>27</v>
      </c>
      <c r="F46" s="11">
        <f>ROUND((C46*E46)*1.03,0)</f>
        <v>97</v>
      </c>
    </row>
  </sheetData>
  <mergeCells count="9">
    <mergeCell ref="A46:B46"/>
    <mergeCell ref="C46:D46"/>
    <mergeCell ref="A1:E1"/>
    <mergeCell ref="A14:B14"/>
    <mergeCell ref="C14:D14"/>
    <mergeCell ref="A28:B28"/>
    <mergeCell ref="C28:D28"/>
    <mergeCell ref="A36:B36"/>
    <mergeCell ref="C36:D3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Guchiya 2</vt:lpstr>
      <vt:lpstr>BISHANPUR I</vt:lpstr>
      <vt:lpstr>GOURIA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OE_DCC</dc:creator>
  <cp:lastModifiedBy>SM Kushida</cp:lastModifiedBy>
  <cp:lastPrinted>2024-03-14T11:07:08Z</cp:lastPrinted>
  <dcterms:created xsi:type="dcterms:W3CDTF">2024-02-08T07:30:29Z</dcterms:created>
  <dcterms:modified xsi:type="dcterms:W3CDTF">2024-10-23T09:51:09Z</dcterms:modified>
</cp:coreProperties>
</file>
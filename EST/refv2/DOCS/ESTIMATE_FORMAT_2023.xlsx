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filterPrivacy="1" codeName="ThisWorkbook" defaultThemeVersion="124226"/>
  <xr:revisionPtr revIDLastSave="0" documentId="8_{193BF9B3-A8DE-4733-B39A-0BBF32228276}" xr6:coauthVersionLast="47" xr6:coauthVersionMax="47" xr10:uidLastSave="{00000000-0000-0000-0000-000000000000}"/>
  <bookViews>
    <workbookView xWindow="-108" yWindow="-108" windowWidth="23256" windowHeight="12456" xr2:uid="{00000000-000D-0000-FFFF-FFFF00000000}"/>
  </bookViews>
  <sheets>
    <sheet name="Material cost data" sheetId="20" r:id="rId1"/>
    <sheet name="Total labour rate" sheetId="16" r:id="rId2"/>
    <sheet name="Sheet1" sheetId="21" r:id="rId3"/>
    <sheet name="Sheet2" sheetId="22" r:id="rId4"/>
  </sheets>
  <definedNames>
    <definedName name="_xlnm._FilterDatabase" localSheetId="0" hidden="1">'Material cost data'!$A$2:$H$347</definedName>
    <definedName name="_xlnm._FilterDatabase" localSheetId="1" hidden="1">'Total labour rate'!$A$2:$G$372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56" i="20" l="1"/>
  <c r="H324" i="20"/>
  <c r="H319" i="20"/>
  <c r="H320" i="20"/>
  <c r="H316" i="20"/>
  <c r="H81" i="20"/>
  <c r="H73" i="20"/>
  <c r="H62" i="20"/>
  <c r="H13" i="20"/>
  <c r="H14" i="20"/>
  <c r="H15" i="20"/>
  <c r="H16" i="20"/>
  <c r="H17" i="20"/>
  <c r="H18" i="20"/>
  <c r="H19" i="20"/>
  <c r="H20" i="20"/>
  <c r="H21" i="20"/>
  <c r="H23" i="20"/>
  <c r="G58" i="16"/>
  <c r="H334" i="20"/>
  <c r="H335" i="20"/>
  <c r="H336" i="20"/>
  <c r="H337" i="20"/>
  <c r="H354" i="20"/>
  <c r="H355" i="20" s="1"/>
  <c r="H356" i="20" s="1"/>
  <c r="H123" i="20" l="1"/>
  <c r="G110" i="16"/>
  <c r="G111" i="16"/>
  <c r="G87" i="16"/>
  <c r="H292" i="20"/>
  <c r="H38" i="20" l="1"/>
  <c r="H28" i="20"/>
  <c r="H26" i="20"/>
  <c r="H24" i="20"/>
  <c r="G84" i="16"/>
  <c r="H140" i="20" l="1"/>
  <c r="H134" i="20"/>
  <c r="H151" i="20"/>
  <c r="H139" i="20"/>
  <c r="H44" i="20"/>
  <c r="H323" i="20" l="1"/>
  <c r="H325" i="20"/>
  <c r="H312" i="20"/>
  <c r="H288" i="20"/>
  <c r="H289" i="20"/>
  <c r="H290" i="20"/>
  <c r="H291" i="20"/>
  <c r="H293" i="20"/>
  <c r="H294" i="20"/>
  <c r="H296" i="20"/>
  <c r="H297" i="20"/>
  <c r="H298" i="20"/>
  <c r="H271" i="20"/>
  <c r="H272" i="20"/>
  <c r="H273" i="20"/>
  <c r="H274" i="20"/>
  <c r="H275" i="20"/>
  <c r="H276" i="20"/>
  <c r="H277" i="20"/>
  <c r="H278" i="20"/>
  <c r="H279" i="20"/>
  <c r="H280" i="20"/>
  <c r="H281" i="20"/>
  <c r="H282" i="20"/>
  <c r="H283" i="20"/>
  <c r="H284" i="20"/>
  <c r="H285" i="20"/>
  <c r="H286" i="20"/>
  <c r="H287" i="20"/>
  <c r="H71" i="20"/>
  <c r="H72" i="20"/>
  <c r="H105" i="20"/>
  <c r="H94" i="20"/>
  <c r="H11" i="20"/>
  <c r="H12" i="20"/>
  <c r="G8" i="16"/>
  <c r="G144" i="16"/>
  <c r="G75" i="16"/>
  <c r="G72" i="16"/>
  <c r="G27" i="16"/>
  <c r="G67" i="16"/>
  <c r="G65" i="16"/>
  <c r="G63" i="16"/>
  <c r="G337" i="16"/>
  <c r="G370" i="16"/>
  <c r="G371" i="16"/>
  <c r="G372" i="16"/>
  <c r="G369" i="16"/>
  <c r="G368" i="16"/>
  <c r="G363" i="16"/>
  <c r="G364" i="16"/>
  <c r="G365" i="16"/>
  <c r="G366" i="16"/>
  <c r="G367" i="16"/>
  <c r="G350" i="16"/>
  <c r="G351" i="16"/>
  <c r="G352" i="16"/>
  <c r="G353" i="16"/>
  <c r="G354" i="16"/>
  <c r="G355" i="16"/>
  <c r="G356" i="16"/>
  <c r="G357" i="16"/>
  <c r="G358" i="16"/>
  <c r="G359" i="16"/>
  <c r="G360" i="16"/>
  <c r="G361" i="16"/>
  <c r="G362" i="16"/>
  <c r="G338" i="16"/>
  <c r="G339" i="16"/>
  <c r="G340" i="16"/>
  <c r="G341" i="16"/>
  <c r="G342" i="16"/>
  <c r="G343" i="16"/>
  <c r="G344" i="16"/>
  <c r="G345" i="16"/>
  <c r="G346" i="16"/>
  <c r="G347" i="16"/>
  <c r="G348" i="16"/>
  <c r="G349" i="16"/>
  <c r="H4" i="20"/>
  <c r="H5" i="20"/>
  <c r="H6" i="20"/>
  <c r="H7" i="20"/>
  <c r="H8" i="20"/>
  <c r="H9" i="20"/>
  <c r="H10" i="20"/>
  <c r="H22" i="20"/>
  <c r="H25" i="20"/>
  <c r="H27" i="20"/>
  <c r="H29" i="20"/>
  <c r="H30" i="20"/>
  <c r="H31" i="20"/>
  <c r="H32" i="20"/>
  <c r="H33" i="20"/>
  <c r="H34" i="20"/>
  <c r="H35" i="20"/>
  <c r="H36" i="20"/>
  <c r="H37" i="20"/>
  <c r="H39" i="20"/>
  <c r="H40" i="20"/>
  <c r="H41" i="20"/>
  <c r="H42" i="20"/>
  <c r="H43" i="20"/>
  <c r="H45" i="20"/>
  <c r="H46" i="20"/>
  <c r="H47" i="20"/>
  <c r="H48" i="20"/>
  <c r="H49" i="20"/>
  <c r="H50" i="20"/>
  <c r="H51" i="20"/>
  <c r="H52" i="20"/>
  <c r="H53" i="20"/>
  <c r="H54" i="20"/>
  <c r="H55" i="20"/>
  <c r="H56" i="20"/>
  <c r="H57" i="20"/>
  <c r="H58" i="20"/>
  <c r="H59" i="20"/>
  <c r="H60" i="20"/>
  <c r="H61" i="20"/>
  <c r="H63" i="20"/>
  <c r="H64" i="20"/>
  <c r="H65" i="20"/>
  <c r="H66" i="20"/>
  <c r="H67" i="20"/>
  <c r="H68" i="20"/>
  <c r="H69" i="20"/>
  <c r="H70" i="20"/>
  <c r="H74" i="20"/>
  <c r="H75" i="20"/>
  <c r="H76" i="20"/>
  <c r="H77" i="20"/>
  <c r="H78" i="20"/>
  <c r="H79" i="20"/>
  <c r="H80" i="20"/>
  <c r="H82" i="20"/>
  <c r="H83" i="20"/>
  <c r="H84" i="20"/>
  <c r="H85" i="20"/>
  <c r="H86" i="20"/>
  <c r="H87" i="20"/>
  <c r="H88" i="20"/>
  <c r="H89" i="20"/>
  <c r="H90" i="20"/>
  <c r="H91" i="20"/>
  <c r="H92" i="20"/>
  <c r="H93" i="20"/>
  <c r="H95" i="20"/>
  <c r="H96" i="20"/>
  <c r="H97" i="20"/>
  <c r="H98" i="20"/>
  <c r="H99" i="20"/>
  <c r="H100" i="20"/>
  <c r="H101" i="20"/>
  <c r="H102" i="20"/>
  <c r="H103" i="20"/>
  <c r="H104" i="20"/>
  <c r="H106" i="20"/>
  <c r="H107" i="20"/>
  <c r="H108" i="20"/>
  <c r="H109" i="20"/>
  <c r="H110" i="20"/>
  <c r="H111" i="20"/>
  <c r="H112" i="20"/>
  <c r="H113" i="20"/>
  <c r="H114" i="20"/>
  <c r="H115" i="20"/>
  <c r="H116" i="20"/>
  <c r="H117" i="20"/>
  <c r="H118" i="20"/>
  <c r="H119" i="20"/>
  <c r="H120" i="20"/>
  <c r="H121" i="20"/>
  <c r="H122" i="20"/>
  <c r="H124" i="20"/>
  <c r="H125" i="20"/>
  <c r="H126" i="20"/>
  <c r="H127" i="20"/>
  <c r="H128" i="20"/>
  <c r="H129" i="20"/>
  <c r="H130" i="20"/>
  <c r="H131" i="20"/>
  <c r="H132" i="20"/>
  <c r="H133" i="20"/>
  <c r="H135" i="20"/>
  <c r="H136" i="20"/>
  <c r="H137" i="20"/>
  <c r="H138" i="20"/>
  <c r="H141" i="20"/>
  <c r="H142" i="20"/>
  <c r="H143" i="20"/>
  <c r="H144" i="20"/>
  <c r="H145" i="20"/>
  <c r="H146" i="20"/>
  <c r="H147" i="20"/>
  <c r="H148" i="20"/>
  <c r="H149" i="20"/>
  <c r="H150" i="20"/>
  <c r="H152" i="20"/>
  <c r="H153" i="20"/>
  <c r="H154" i="20"/>
  <c r="H155" i="20"/>
  <c r="H157" i="20"/>
  <c r="H158" i="20"/>
  <c r="H159" i="20"/>
  <c r="H160" i="20"/>
  <c r="H161" i="20"/>
  <c r="H162" i="20"/>
  <c r="H163" i="20"/>
  <c r="H164" i="20"/>
  <c r="H165" i="20"/>
  <c r="H166" i="20"/>
  <c r="H167" i="20"/>
  <c r="H168" i="20"/>
  <c r="H169" i="20"/>
  <c r="H170" i="20"/>
  <c r="H171" i="20"/>
  <c r="H172" i="20"/>
  <c r="H173" i="20"/>
  <c r="H174" i="20"/>
  <c r="H175" i="20"/>
  <c r="H176" i="20"/>
  <c r="H177" i="20"/>
  <c r="H178" i="20"/>
  <c r="H179" i="20"/>
  <c r="H180" i="20"/>
  <c r="H181" i="20"/>
  <c r="H182" i="20"/>
  <c r="H183" i="20"/>
  <c r="H184" i="20"/>
  <c r="H185" i="20"/>
  <c r="H186" i="20"/>
  <c r="H187" i="20"/>
  <c r="H188" i="20"/>
  <c r="H189" i="20"/>
  <c r="H190" i="20"/>
  <c r="H191" i="20"/>
  <c r="H192" i="20"/>
  <c r="H193" i="20"/>
  <c r="H194" i="20"/>
  <c r="H195" i="20"/>
  <c r="H196" i="20"/>
  <c r="H197" i="20"/>
  <c r="H198" i="20"/>
  <c r="H199" i="20"/>
  <c r="H200" i="20"/>
  <c r="H201" i="20"/>
  <c r="H202" i="20"/>
  <c r="H203" i="20"/>
  <c r="H204" i="20"/>
  <c r="H205" i="20"/>
  <c r="H206" i="20"/>
  <c r="H207" i="20"/>
  <c r="H208" i="20"/>
  <c r="H209" i="20"/>
  <c r="H210" i="20"/>
  <c r="H211" i="20"/>
  <c r="H212" i="20"/>
  <c r="H213" i="20"/>
  <c r="H214" i="20"/>
  <c r="H215" i="20"/>
  <c r="H216" i="20"/>
  <c r="H217" i="20"/>
  <c r="H218" i="20"/>
  <c r="H219" i="20"/>
  <c r="H220" i="20"/>
  <c r="H221" i="20"/>
  <c r="H222" i="20"/>
  <c r="H223" i="20"/>
  <c r="H224" i="20"/>
  <c r="H225" i="20"/>
  <c r="H226" i="20"/>
  <c r="H227" i="20"/>
  <c r="H228" i="20"/>
  <c r="H229" i="20"/>
  <c r="H230" i="20"/>
  <c r="H231" i="20"/>
  <c r="H232" i="20"/>
  <c r="H233" i="20"/>
  <c r="H234" i="20"/>
  <c r="H235" i="20"/>
  <c r="H236" i="20"/>
  <c r="H237" i="20"/>
  <c r="H238" i="20"/>
  <c r="H239" i="20"/>
  <c r="H240" i="20"/>
  <c r="H241" i="20"/>
  <c r="H242" i="20"/>
  <c r="H243" i="20"/>
  <c r="H244" i="20"/>
  <c r="H245" i="20"/>
  <c r="H246" i="20"/>
  <c r="H247" i="20"/>
  <c r="H248" i="20"/>
  <c r="H249" i="20"/>
  <c r="H250" i="20"/>
  <c r="H251" i="20"/>
  <c r="H252" i="20"/>
  <c r="H253" i="20"/>
  <c r="H254" i="20"/>
  <c r="H255" i="20"/>
  <c r="H256" i="20"/>
  <c r="H257" i="20"/>
  <c r="H258" i="20"/>
  <c r="H259" i="20"/>
  <c r="H260" i="20"/>
  <c r="H261" i="20"/>
  <c r="H262" i="20"/>
  <c r="H263" i="20"/>
  <c r="H264" i="20"/>
  <c r="H265" i="20"/>
  <c r="H266" i="20"/>
  <c r="H267" i="20"/>
  <c r="H268" i="20"/>
  <c r="H269" i="20"/>
  <c r="H270" i="20"/>
  <c r="H299" i="20"/>
  <c r="H300" i="20"/>
  <c r="H301" i="20"/>
  <c r="H302" i="20"/>
  <c r="H303" i="20"/>
  <c r="H304" i="20"/>
  <c r="H305" i="20"/>
  <c r="H306" i="20"/>
  <c r="H307" i="20"/>
  <c r="H308" i="20"/>
  <c r="H309" i="20"/>
  <c r="H310" i="20"/>
  <c r="H311" i="20"/>
  <c r="H313" i="20"/>
  <c r="H314" i="20"/>
  <c r="H315" i="20"/>
  <c r="H317" i="20"/>
  <c r="H318" i="20"/>
  <c r="H321" i="20"/>
  <c r="H322" i="20"/>
  <c r="H326" i="20"/>
  <c r="H327" i="20"/>
  <c r="H328" i="20"/>
  <c r="H329" i="20"/>
  <c r="H330" i="20"/>
  <c r="H331" i="20"/>
  <c r="H332" i="20"/>
  <c r="H333" i="20"/>
  <c r="H3" i="20"/>
  <c r="G143" i="16"/>
  <c r="G4" i="16"/>
  <c r="G5" i="16"/>
  <c r="G6" i="16"/>
  <c r="G7" i="16"/>
  <c r="G9" i="16"/>
  <c r="G10" i="16"/>
  <c r="G11" i="16"/>
  <c r="G12" i="16"/>
  <c r="G13" i="16"/>
  <c r="G14" i="16"/>
  <c r="G15" i="16"/>
  <c r="G16" i="16"/>
  <c r="G17" i="16"/>
  <c r="G18" i="16"/>
  <c r="G19" i="16"/>
  <c r="G20" i="16"/>
  <c r="G21" i="16"/>
  <c r="G22" i="16"/>
  <c r="G23" i="16"/>
  <c r="G24" i="16"/>
  <c r="G25" i="16"/>
  <c r="G26" i="16"/>
  <c r="G28" i="16"/>
  <c r="G29" i="16"/>
  <c r="G30" i="16"/>
  <c r="G31" i="16"/>
  <c r="G32" i="16"/>
  <c r="G33" i="16"/>
  <c r="G34" i="16"/>
  <c r="G35" i="16"/>
  <c r="G36" i="16"/>
  <c r="G37" i="16"/>
  <c r="G38" i="16"/>
  <c r="G39" i="16"/>
  <c r="G40" i="16"/>
  <c r="G41" i="16"/>
  <c r="G42" i="16"/>
  <c r="G43" i="16"/>
  <c r="G44" i="16"/>
  <c r="G45" i="16"/>
  <c r="G46" i="16"/>
  <c r="G47" i="16"/>
  <c r="G48" i="16"/>
  <c r="G49" i="16"/>
  <c r="G50" i="16"/>
  <c r="G51" i="16"/>
  <c r="G52" i="16"/>
  <c r="G53" i="16"/>
  <c r="G54" i="16"/>
  <c r="G55" i="16"/>
  <c r="G56" i="16"/>
  <c r="G57" i="16"/>
  <c r="G59" i="16"/>
  <c r="G60" i="16"/>
  <c r="G61" i="16"/>
  <c r="G62" i="16"/>
  <c r="G64" i="16"/>
  <c r="G66" i="16"/>
  <c r="G68" i="16"/>
  <c r="G69" i="16"/>
  <c r="G70" i="16"/>
  <c r="G71" i="16"/>
  <c r="G73" i="16"/>
  <c r="G74" i="16"/>
  <c r="G76" i="16"/>
  <c r="G77" i="16"/>
  <c r="G78" i="16"/>
  <c r="G79" i="16"/>
  <c r="G80" i="16"/>
  <c r="G81" i="16"/>
  <c r="G82" i="16"/>
  <c r="G83" i="16"/>
  <c r="G85" i="16"/>
  <c r="G86" i="16"/>
  <c r="G88" i="16"/>
  <c r="G89" i="16"/>
  <c r="G90" i="16"/>
  <c r="G91" i="16"/>
  <c r="G92" i="16"/>
  <c r="G93" i="16"/>
  <c r="G94" i="16"/>
  <c r="G95" i="16"/>
  <c r="G96" i="16"/>
  <c r="G97" i="16"/>
  <c r="G98" i="16"/>
  <c r="G99" i="16"/>
  <c r="G100" i="16"/>
  <c r="G101" i="16"/>
  <c r="G102" i="16"/>
  <c r="G103" i="16"/>
  <c r="G104" i="16"/>
  <c r="G105" i="16"/>
  <c r="G106" i="16"/>
  <c r="G107" i="16"/>
  <c r="G108" i="16"/>
  <c r="G109" i="16"/>
  <c r="G112" i="16"/>
  <c r="G113" i="16"/>
  <c r="G114" i="16"/>
  <c r="G115" i="16"/>
  <c r="G116" i="16"/>
  <c r="G117" i="16"/>
  <c r="G118" i="16"/>
  <c r="G119" i="16"/>
  <c r="G120" i="16"/>
  <c r="G121" i="16"/>
  <c r="G122" i="16"/>
  <c r="G123" i="16"/>
  <c r="G124" i="16"/>
  <c r="G125" i="16"/>
  <c r="G126" i="16"/>
  <c r="G127" i="16"/>
  <c r="G128" i="16"/>
  <c r="G129" i="16"/>
  <c r="G130" i="16"/>
  <c r="G131" i="16"/>
  <c r="G132" i="16"/>
  <c r="G133" i="16"/>
  <c r="G134" i="16"/>
  <c r="G135" i="16"/>
  <c r="G136" i="16"/>
  <c r="G137" i="16"/>
  <c r="G138" i="16"/>
  <c r="G139" i="16"/>
  <c r="G140" i="16"/>
  <c r="G141" i="16"/>
  <c r="G142" i="16"/>
  <c r="G145" i="16"/>
  <c r="G146" i="16"/>
  <c r="G147" i="16"/>
  <c r="G148" i="16"/>
  <c r="G149" i="16"/>
  <c r="G150" i="16"/>
  <c r="G151" i="16"/>
  <c r="G152" i="16"/>
  <c r="G153" i="16"/>
  <c r="G154" i="16"/>
  <c r="G155" i="16"/>
  <c r="G156" i="16"/>
  <c r="G157" i="16"/>
  <c r="G158" i="16"/>
  <c r="G159" i="16"/>
  <c r="G160" i="16"/>
  <c r="G161" i="16"/>
  <c r="G162" i="16"/>
  <c r="G163" i="16"/>
  <c r="G164" i="16"/>
  <c r="G165" i="16"/>
  <c r="G166" i="16"/>
  <c r="G167" i="16"/>
  <c r="G168" i="16"/>
  <c r="G169" i="16"/>
  <c r="G170" i="16"/>
  <c r="G171" i="16"/>
  <c r="G172" i="16"/>
  <c r="G173" i="16"/>
  <c r="G174" i="16"/>
  <c r="G175" i="16"/>
  <c r="G176" i="16"/>
  <c r="G177" i="16"/>
  <c r="G178" i="16"/>
  <c r="G179" i="16"/>
  <c r="G180" i="16"/>
  <c r="G181" i="16"/>
  <c r="G182" i="16"/>
  <c r="G183" i="16"/>
  <c r="G184" i="16"/>
  <c r="G185" i="16"/>
  <c r="G186" i="16"/>
  <c r="G187" i="16"/>
  <c r="G188" i="16"/>
  <c r="G189" i="16"/>
  <c r="G190" i="16"/>
  <c r="G191" i="16"/>
  <c r="G192" i="16"/>
  <c r="G193" i="16"/>
  <c r="G194" i="16"/>
  <c r="G195" i="16"/>
  <c r="G196" i="16"/>
  <c r="G197" i="16"/>
  <c r="G198" i="16"/>
  <c r="G199" i="16"/>
  <c r="G200" i="16"/>
  <c r="G201" i="16"/>
  <c r="G202" i="16"/>
  <c r="G203" i="16"/>
  <c r="G204" i="16"/>
  <c r="G205" i="16"/>
  <c r="G206" i="16"/>
  <c r="G207" i="16"/>
  <c r="G208" i="16"/>
  <c r="G209" i="16"/>
  <c r="G210" i="16"/>
  <c r="G211" i="16"/>
  <c r="G212" i="16"/>
  <c r="G213" i="16"/>
  <c r="G214" i="16"/>
  <c r="G215" i="16"/>
  <c r="G216" i="16"/>
  <c r="G217" i="16"/>
  <c r="G218" i="16"/>
  <c r="G219" i="16"/>
  <c r="G220" i="16"/>
  <c r="G221" i="16"/>
  <c r="G222" i="16"/>
  <c r="G223" i="16"/>
  <c r="G224" i="16"/>
  <c r="G225" i="16"/>
  <c r="G226" i="16"/>
  <c r="G227" i="16"/>
  <c r="G228" i="16"/>
  <c r="G229" i="16"/>
  <c r="G230" i="16"/>
  <c r="G231" i="16"/>
  <c r="G232" i="16"/>
  <c r="G233" i="16"/>
  <c r="G234" i="16"/>
  <c r="G235" i="16"/>
  <c r="G236" i="16"/>
  <c r="G237" i="16"/>
  <c r="G238" i="16"/>
  <c r="G239" i="16"/>
  <c r="G240" i="16"/>
  <c r="G241" i="16"/>
  <c r="G242" i="16"/>
  <c r="G243" i="16"/>
  <c r="G244" i="16"/>
  <c r="G245" i="16"/>
  <c r="G246" i="16"/>
  <c r="G247" i="16"/>
  <c r="G248" i="16"/>
  <c r="G249" i="16"/>
  <c r="G250" i="16"/>
  <c r="G251" i="16"/>
  <c r="G252" i="16"/>
  <c r="G253" i="16"/>
  <c r="G254" i="16"/>
  <c r="G255" i="16"/>
  <c r="G256" i="16"/>
  <c r="G257" i="16"/>
  <c r="G258" i="16"/>
  <c r="G259" i="16"/>
  <c r="G260" i="16"/>
  <c r="G261" i="16"/>
  <c r="G262" i="16"/>
  <c r="G263" i="16"/>
  <c r="G264" i="16"/>
  <c r="G265" i="16"/>
  <c r="G266" i="16"/>
  <c r="G267" i="16"/>
  <c r="G268" i="16"/>
  <c r="G269" i="16"/>
  <c r="G270" i="16"/>
  <c r="G271" i="16"/>
  <c r="G272" i="16"/>
  <c r="G273" i="16"/>
  <c r="G274" i="16"/>
  <c r="G275" i="16"/>
  <c r="G276" i="16"/>
  <c r="G277" i="16"/>
  <c r="G278" i="16"/>
  <c r="G279" i="16"/>
  <c r="G280" i="16"/>
  <c r="G281" i="16"/>
  <c r="G282" i="16"/>
  <c r="G283" i="16"/>
  <c r="G284" i="16"/>
  <c r="G285" i="16"/>
  <c r="G286" i="16"/>
  <c r="G287" i="16"/>
  <c r="G288" i="16"/>
  <c r="G289" i="16"/>
  <c r="G290" i="16"/>
  <c r="G291" i="16"/>
  <c r="G292" i="16"/>
  <c r="G293" i="16"/>
  <c r="G294" i="16"/>
  <c r="G295" i="16"/>
  <c r="G296" i="16"/>
  <c r="G297" i="16"/>
  <c r="G298" i="16"/>
  <c r="G299" i="16"/>
  <c r="G300" i="16"/>
  <c r="G301" i="16"/>
  <c r="G302" i="16"/>
  <c r="G303" i="16"/>
  <c r="G304" i="16"/>
  <c r="G305" i="16"/>
  <c r="G306" i="16"/>
  <c r="G307" i="16"/>
  <c r="G308" i="16"/>
  <c r="G309" i="16"/>
  <c r="G310" i="16"/>
  <c r="G311" i="16"/>
  <c r="G312" i="16"/>
  <c r="G313" i="16"/>
  <c r="G314" i="16"/>
  <c r="G315" i="16"/>
  <c r="G316" i="16"/>
  <c r="G317" i="16"/>
  <c r="G318" i="16"/>
  <c r="G319" i="16"/>
  <c r="G320" i="16"/>
  <c r="G321" i="16"/>
  <c r="G322" i="16"/>
  <c r="G323" i="16"/>
  <c r="G324" i="16"/>
  <c r="G325" i="16"/>
  <c r="G326" i="16"/>
  <c r="G327" i="16"/>
  <c r="G328" i="16"/>
  <c r="G329" i="16"/>
  <c r="G330" i="16"/>
  <c r="G331" i="16"/>
  <c r="G332" i="16"/>
  <c r="G333" i="16"/>
  <c r="G334" i="16"/>
  <c r="G335" i="16"/>
  <c r="G336" i="16"/>
  <c r="G3" i="16"/>
  <c r="H338" i="20" l="1"/>
  <c r="H339" i="20" s="1"/>
  <c r="H340" i="20" s="1"/>
  <c r="G373" i="16"/>
  <c r="H341" i="20" s="1"/>
  <c r="H342" i="20" l="1"/>
  <c r="H343" i="20" s="1"/>
  <c r="H346" i="20" l="1"/>
  <c r="H344" i="20" l="1"/>
  <c r="H345" i="20" s="1"/>
  <c r="H347" i="20" s="1"/>
</calcChain>
</file>

<file path=xl/sharedStrings.xml><?xml version="1.0" encoding="utf-8"?>
<sst xmlns="http://schemas.openxmlformats.org/spreadsheetml/2006/main" count="2176" uniqueCount="778">
  <si>
    <t>SL NO</t>
  </si>
  <si>
    <t>SET</t>
  </si>
  <si>
    <t>KM</t>
  </si>
  <si>
    <t>Erection of 100 KVA DTR</t>
  </si>
  <si>
    <t>Erection of 63 KVA DTR</t>
  </si>
  <si>
    <t>Erection of 25 KVA DTR</t>
  </si>
  <si>
    <t>Nos</t>
  </si>
  <si>
    <t>MT</t>
  </si>
  <si>
    <t>set</t>
  </si>
  <si>
    <t>NOS</t>
  </si>
  <si>
    <t>PAA</t>
  </si>
  <si>
    <t>Rail Pole cutting</t>
  </si>
  <si>
    <t>Survey of HTOH line up to 33 KV</t>
  </si>
  <si>
    <t xml:space="preserve">Survey of LTOH line </t>
  </si>
  <si>
    <t>Erection of 12.80 MTR Long Rail pole S/P</t>
  </si>
  <si>
    <t>Erection of 9 MTR Long PCC pole S/P</t>
  </si>
  <si>
    <t>Erection of 8 MTR Long PCC pole S/P</t>
  </si>
  <si>
    <t>Erection of 12.80 MTR Long Rail pole S/P for HTOH line</t>
  </si>
  <si>
    <t>Erection of 9 MTR Long PCC pole S/P for HTOH line</t>
  </si>
  <si>
    <t>Erection of 8 MTR Long PCC pole S/P for HTOH line</t>
  </si>
  <si>
    <t>Erection of 12.80 MTR Long Rail pole D/P for HTOH line</t>
  </si>
  <si>
    <t>Erection of 9 MTR Long PCC pole D/P for HTOH line</t>
  </si>
  <si>
    <t>Erection of 8 MTR Long PCC pole D/P for HTOH line</t>
  </si>
  <si>
    <t>Erection of 12.80 MTR Long Rail pole T/P for HTOH line</t>
  </si>
  <si>
    <t>Erection of 9 MTR Long PCC pole T/P for HTOH line</t>
  </si>
  <si>
    <t>Erection of 8 MTR Long PCC pole T/P for HTOH line</t>
  </si>
  <si>
    <t>Erection of 12.80 MTR Long Rail pole 4 P for HTOH line</t>
  </si>
  <si>
    <t>Erection of 9 MTR Long PCC pole 4 P for HTOH line</t>
  </si>
  <si>
    <t>Erection of 8 MTR Long PCC pole 4 P for HTOH line</t>
  </si>
  <si>
    <t>Sub-Stationn Str with 12.8 Mtr Rail pole DP</t>
  </si>
  <si>
    <t>Sub-Stationn Str with 9 Mtr PCC pole DP</t>
  </si>
  <si>
    <t>Sub-Stationn Str with 8 Mtr PCC pole DP</t>
  </si>
  <si>
    <t>Sub-Stationn Str with 8 Mtr PCC pole Four Pole</t>
  </si>
  <si>
    <t>Str &amp; Sagg of  100 sqmm  ACSR Dog X 3 wire</t>
  </si>
  <si>
    <t>Str &amp; Sagg of  50 sqmm  ACSR Rabbit X 3 wire</t>
  </si>
  <si>
    <t>Str &amp; Sagg of  50 sqmm  ACSR Rabbit X 2 wire</t>
  </si>
  <si>
    <t>Str &amp; Sagg of  50 sqmm  ACSR Rabbit X 1 wire</t>
  </si>
  <si>
    <t>Str &amp; Sagg of  50 sqmm  ACSR Rabbit X 4 wire</t>
  </si>
  <si>
    <t>Str &amp; Sagg of  30 sqmm  ACSR Weasel X 4 wire</t>
  </si>
  <si>
    <t>Str &amp; Sagg of  30 sqmm  ACSR Weasel X 3 wire</t>
  </si>
  <si>
    <t>Str &amp; Sagg of  30 sqmm  ACSR Weasel X 2 wire</t>
  </si>
  <si>
    <t>Str &amp; Sagg of  30 sqmm  ACSR Weasel X 1 wire</t>
  </si>
  <si>
    <t>Erection of 315 KVA DTR</t>
  </si>
  <si>
    <t>Erection of 10 &amp; 16 KVA DTR</t>
  </si>
  <si>
    <t>Fixing of CG Bracket on SP</t>
  </si>
  <si>
    <t>Fixing of CG Bracket on DP</t>
  </si>
  <si>
    <t>Fixing of Lead wire upto 30 Mtr 2 wire</t>
  </si>
  <si>
    <t>Fixing of Lead wire upto 60 Mtr 2 wire</t>
  </si>
  <si>
    <t>Fixing of Lead wire upto 100 Mtr 2 wire</t>
  </si>
  <si>
    <t>Making &amp; Fixing of Cross Lessing</t>
  </si>
  <si>
    <t>Fixing of 11 KV Pin Insulator</t>
  </si>
  <si>
    <t>Fixing of 33 KV Pin Insulator</t>
  </si>
  <si>
    <t>Fixing of 11 KV Disc Insulator</t>
  </si>
  <si>
    <t>Fixing of 33 KV Disc Insulator</t>
  </si>
  <si>
    <t>Fixing of LT shackle Insulator</t>
  </si>
  <si>
    <t>Fixing of LT CI reel Insulator</t>
  </si>
  <si>
    <t>Erection of HT Stay Set</t>
  </si>
  <si>
    <t>Erection of LT Stay Set</t>
  </si>
  <si>
    <t>Erection of Earth Spike</t>
  </si>
  <si>
    <t>Fixing of Caution Board</t>
  </si>
  <si>
    <t>Fixing of Safey Device</t>
  </si>
  <si>
    <t>TPGO Isl fixing on On line DP</t>
  </si>
  <si>
    <t>Fixing of LA Set</t>
  </si>
  <si>
    <t>Fixing of LT Box Bracket</t>
  </si>
  <si>
    <t>Fixing of LT kiosk 1 Feeder</t>
  </si>
  <si>
    <t>Fixing of LT kiosk 2 Feeder</t>
  </si>
  <si>
    <t>Tee-Off Bracket on SP</t>
  </si>
  <si>
    <t>Tee-Off Bracket on DP</t>
  </si>
  <si>
    <t>LT Spacer 1ph Unit</t>
  </si>
  <si>
    <t>LT Spacer 3ph Unit</t>
  </si>
  <si>
    <t>Str &amp; Sagg of  GI Wire X 1 wire</t>
  </si>
  <si>
    <t>Str &amp; Sagg LT AB Cable 3X70+1X16+1X50SQMM</t>
  </si>
  <si>
    <t>Str &amp; Sagg LT AB Cable 3X50+1X16+1X35SQMM</t>
  </si>
  <si>
    <t>Str &amp; Sagg LT AB Cable 3X50+1X35SQMM</t>
  </si>
  <si>
    <t>Erection of lt anchor clamp</t>
  </si>
  <si>
    <t>nos</t>
  </si>
  <si>
    <t>Erection of lt Suspension clamp</t>
  </si>
  <si>
    <t>Erection of percing connector of DCDB box</t>
  </si>
  <si>
    <t>Erection of DCDB box</t>
  </si>
  <si>
    <t>km</t>
  </si>
  <si>
    <t>Re str &amp; sagg/return to store of LT AB Cable</t>
  </si>
  <si>
    <t>Replacement of DCDB box</t>
  </si>
  <si>
    <t>Replacement of Anchor/suspension clamp</t>
  </si>
  <si>
    <t>Str &amp; Sagg HT AB Cable 3X95+1X180 SQMM</t>
  </si>
  <si>
    <t>Str &amp; Sagg HT AB Cable 3X50+1X105 SQMM</t>
  </si>
  <si>
    <t>Erection of HT anchor clamp/Suspension clamp</t>
  </si>
  <si>
    <t>Re str &amp; sagg of HT AB Cable</t>
  </si>
  <si>
    <t>Outdoor termination of HT AB Cable</t>
  </si>
  <si>
    <t>Straight through termination of HT AB Cable</t>
  </si>
  <si>
    <t>TEE Joint of HT AB Cable</t>
  </si>
  <si>
    <t>10/16/25 KVA DTR Dismantal &amp; return to store</t>
  </si>
  <si>
    <t>63 KVA DTR Dismantal &amp; return to store</t>
  </si>
  <si>
    <t>100 KVA DTR Dismantal &amp; return to store</t>
  </si>
  <si>
    <t>Straightning of PCC pole 8mtr</t>
  </si>
  <si>
    <t>Straightning of PCC pole 9mtr</t>
  </si>
  <si>
    <t>Straightning of RAil pole 12.8 mtr</t>
  </si>
  <si>
    <t>Re-Fixing the 33 KV pin insulator</t>
  </si>
  <si>
    <t>Re-Fixing the 33 KV Disc insulator</t>
  </si>
  <si>
    <t>Re-earthing by GI wire</t>
  </si>
  <si>
    <t>Stay set rectification</t>
  </si>
  <si>
    <t>Re-sag of CG 2 wire 30-60 Mtr</t>
  </si>
  <si>
    <t>Re-sag of CG 2 wire above 60 Mtr</t>
  </si>
  <si>
    <t>Re-fixing of cross lessing</t>
  </si>
  <si>
    <t>Re-fixing of Service connection Dom/Com</t>
  </si>
  <si>
    <t>Re-fixing of Service connection IND</t>
  </si>
  <si>
    <t>Dismantling &amp; return to storeof Service connection 1ph</t>
  </si>
  <si>
    <t>Dismantling &amp; return to storeof Service connection 3ph</t>
  </si>
  <si>
    <t>Replacement of un serviceable service cable</t>
  </si>
  <si>
    <t>Uprooting &amp; return to store rail pole</t>
  </si>
  <si>
    <t>Uprooting &amp; return to store PCC pole 9 mtr</t>
  </si>
  <si>
    <t>Uprooting &amp; return to store PCC pole 8 mtr</t>
  </si>
  <si>
    <t>Re-fixing of LT iron Bracket</t>
  </si>
  <si>
    <t>Re-fixing of LT kiosk 1 feeder</t>
  </si>
  <si>
    <t>Re-fixing of LT kiosk 2 feeder</t>
  </si>
  <si>
    <t>Broken DP 8mtr replacement</t>
  </si>
  <si>
    <t>Broken 4P 8mtr replacement</t>
  </si>
  <si>
    <t>Broken DP 9mtr replacement</t>
  </si>
  <si>
    <t>Broken 4P 9mtr replacement</t>
  </si>
  <si>
    <t>Broken SP 8mtr replacement</t>
  </si>
  <si>
    <t>Broken SP 9mtr replacement</t>
  </si>
  <si>
    <t>Broken SP 12.8 mtr rail pole replacement</t>
  </si>
  <si>
    <t>conversion exixting pole to sub-station DP 8 mtr</t>
  </si>
  <si>
    <t>conversion exixting pole to sub-station DP 9 mtr</t>
  </si>
  <si>
    <t>conversion exixting pole to sub-station DP 12.8 mtr rail pole</t>
  </si>
  <si>
    <t>conversion exixting D pole to 4P on  8 mtr PCC pole</t>
  </si>
  <si>
    <t>SL No</t>
  </si>
  <si>
    <t>Description of work</t>
  </si>
  <si>
    <t>Unit</t>
  </si>
  <si>
    <t>Rate</t>
  </si>
  <si>
    <t>Remarks</t>
  </si>
  <si>
    <t>New Work</t>
  </si>
  <si>
    <t>AB Cable</t>
  </si>
  <si>
    <t>O &amp; M work</t>
  </si>
  <si>
    <t>250/315/160 KVA DTR Repacement &amp; return to store</t>
  </si>
  <si>
    <t>250/315/160 KVA DTR Dismantal &amp; return to store</t>
  </si>
  <si>
    <t>10 KVA Replaced by 25 KVA &amp; return the old DTR to Store</t>
  </si>
  <si>
    <t>Replacement of Anchor/suspension clamp for HT</t>
  </si>
  <si>
    <t>25 KVA Replaced by 63KVA &amp; return the old DTR to Store</t>
  </si>
  <si>
    <t>63KVA Replaced by 100 KVA &amp; return the old DTR to Store</t>
  </si>
  <si>
    <t>100 KVA Replaced by 250/315 KVA &amp; return the old DTR to Store</t>
  </si>
  <si>
    <t>Re-Fixing of LT Shackle insulator</t>
  </si>
  <si>
    <t>Re installation of 33 KV Isolator</t>
  </si>
  <si>
    <t>Re installation of 11 KV Isolator</t>
  </si>
  <si>
    <t>Dismantal &amp; re fixing of TPGO ISL 11 KV by new one &amp; return the old</t>
  </si>
  <si>
    <t>Dismantal &amp; re fixing of TPGO ISL 33 KV by new one &amp; return the old</t>
  </si>
  <si>
    <t>Service connection fixing without meter 1ph</t>
  </si>
  <si>
    <t>Service connection fixing with meter 1ph</t>
  </si>
  <si>
    <t>Service connection fixing with meter 3ph</t>
  </si>
  <si>
    <t>Fixing of CUT-out inplace of Mainswitch 1ckt</t>
  </si>
  <si>
    <t>Fixing of CUT-out inplace of Mainswitch 2ckt</t>
  </si>
  <si>
    <t>Fixing of 3 ph energy meter with PPM Box with all allied works</t>
  </si>
  <si>
    <t>Replacement of 3 ph energy meter with PPM Box with all allied works</t>
  </si>
  <si>
    <t>Fixing of 1 ph energy meter with PPM Box with all allied works</t>
  </si>
  <si>
    <t>Replacement of 1 ph energy meter with PPM Box with all allied works</t>
  </si>
  <si>
    <t>Only replacement of Defective meter 1ph with PPM box</t>
  </si>
  <si>
    <t>Only replacement of Defective meter 1ph without PPM box</t>
  </si>
  <si>
    <t>Only replacement of Defective meter 3ph with PPM box</t>
  </si>
  <si>
    <t>Only replacement of Defective meter 3ph without PPM box</t>
  </si>
  <si>
    <t>Dis connection/Re-connection of 1ph meter</t>
  </si>
  <si>
    <t>Dis connection/Re-connection of 3ph meter</t>
  </si>
  <si>
    <t>Walk over survey for varjin mouzas</t>
  </si>
  <si>
    <t>Returnable cost of damage wooden pole</t>
  </si>
  <si>
    <t>Extention of rail pole 3 mtr</t>
  </si>
  <si>
    <t>Str &amp; Sagg of  150 sqmm  ACSR wolf X 3 wire</t>
  </si>
  <si>
    <t>Str &amp; Sagg of  150 sqmm  ACSR wolf X 2 wire</t>
  </si>
  <si>
    <t>Str &amp; Sagg of  150 sqmm  ACSR wolf X 1 wire</t>
  </si>
  <si>
    <t>Str &amp; Sagg of  100 sqmm  ACSR Dog X 2 wire</t>
  </si>
  <si>
    <t>Str &amp; Sagg of  100 sqmm  ACSR Dog X 1 wire</t>
  </si>
  <si>
    <t>Str &amp; Sagg of  20 sqmm  ACSR Squirrel X 4 wire</t>
  </si>
  <si>
    <t>Str &amp; Sagg of  20 sqmm  ACSR Squirrel X 3 wire</t>
  </si>
  <si>
    <t>Str &amp; Sagg of  20 sqmm  ACSR Squirrel X 2 wire</t>
  </si>
  <si>
    <t>Str &amp; Sagg of  20 sqmm  ACSR Squirrel X 1 wire</t>
  </si>
  <si>
    <t>Str &amp; Sagg of  50 sqmm  AAC ANT X 4 wire</t>
  </si>
  <si>
    <t>Str &amp; Sagg of  50 sqmm  AAC ANT X 3 wire</t>
  </si>
  <si>
    <t>Str &amp; Sagg of  50 sqmm  AAC ANT X 2 wire</t>
  </si>
  <si>
    <t>Str &amp; Sagg of  50 sqmm  AAC ANT X 1 wire</t>
  </si>
  <si>
    <t>Str &amp; Sagg of  25 sqmm  AAC GNAT X 4 wire</t>
  </si>
  <si>
    <t>Str &amp; Sagg of  25 sqmm  AAC GNAT X 3 wire</t>
  </si>
  <si>
    <t>Str &amp; Sagg of  25 sqmm  AAC GNAT X 2 wire</t>
  </si>
  <si>
    <t>Str &amp; Sagg of  25 sqmm  AAC GNAT X 1 wire</t>
  </si>
  <si>
    <t>Fixing of Main Switch 1 Feeder</t>
  </si>
  <si>
    <t>Fixing of Main Switch 2 Feeder</t>
  </si>
  <si>
    <t>Making hole in rail pole</t>
  </si>
  <si>
    <t>Fixing Dead end/tention including compression joint fro wolf</t>
  </si>
  <si>
    <t>Fixing suspension clamp in  wolf</t>
  </si>
  <si>
    <t>Jumpering for  wolf conductor with compression</t>
  </si>
  <si>
    <t>Muffing for steel tubelar pole</t>
  </si>
  <si>
    <t>jointing of wolf conductor by compresion</t>
  </si>
  <si>
    <t>Amount</t>
  </si>
  <si>
    <t>KG</t>
  </si>
  <si>
    <t>Excatation of Soil by cutting of metal or concrete for reinstallment of cable(new)(CUM converted to KM)</t>
  </si>
  <si>
    <t>Excatation of Soil for reinstallment of cable(Esixting)(CUM converted to KM)</t>
  </si>
  <si>
    <t>Excatation of Soil by cutting of metal or concrete for reinstallment of cableEsixting)(CUM converted to KM)</t>
  </si>
  <si>
    <t>Supply &amp; laying of RCC Spun Pipe 150 mmm dia (6 inch)</t>
  </si>
  <si>
    <t>Supply &amp; laying of RCC Spun Pipe 225 mmm dia (9 inch)</t>
  </si>
  <si>
    <t>Supply of 1st Class Brick</t>
  </si>
  <si>
    <t>Laying of Bricks</t>
  </si>
  <si>
    <t>Laying &amp; Dressing of 11 KV XLPE/PILC 3CX35/50/70 Sqmm Cable</t>
  </si>
  <si>
    <t>Laying &amp; Dressing of 11 KV XLPE/PILC 3CX95/120 Sqmm Cable</t>
  </si>
  <si>
    <t>Laying &amp; Dressing of 11 KV XLPE/PILC 3CX185/240 Sqmm Cable</t>
  </si>
  <si>
    <t>Laying &amp; Dressing of 11 KV XLPE/PILC 3CX300/400 Sqmm Cable</t>
  </si>
  <si>
    <t>Laying &amp; Dressing of 1.1 KV PVC/XLPE 2x10,4x10/16, 3.5/4x25 Sqmm Cable</t>
  </si>
  <si>
    <t>Laying &amp; Dressing of 1.1 KV PVC/XLPE  3.5/4x35/50/70 Sqmm Cable</t>
  </si>
  <si>
    <t>Laying &amp; Dressing of 1.1 KV PVC/XLPE  3.5/4x95/120 Sqmm Cable</t>
  </si>
  <si>
    <t>Laying &amp; Dressing of 1.1 KV PVC/XLPE  3.5/4x185/225/240 Sqmm Cable</t>
  </si>
  <si>
    <t>Making Straight Through Joint of 11 KV XLPE/PILC 3CX95/120 Sqmm Cable</t>
  </si>
  <si>
    <t>Making Straight Through Joint of 11 KV XLPE/PILC 3CX185/240 Sqmm Cable</t>
  </si>
  <si>
    <t>Making Straight Through Joint of 11 KV XLPE/PILC 3CX300/400 Sqmm Cable</t>
  </si>
  <si>
    <t>Making Straight Through Joint of LT 1.1 KV XLPE/PVC 2CX10,4CX10/16, 3.5C/4CX25 Sqmm Cable</t>
  </si>
  <si>
    <t>Making Straight Through Joint of LT 1.1 KV XLPE/PVC 3.5/4CX35/50/70 Sqmm Cable</t>
  </si>
  <si>
    <t>Making Straight Through Joint of LT 1.1 KV XLPE/PVC 3.5/4CX95/120 Sqmm Cable</t>
  </si>
  <si>
    <t>Making Straight Through Joint of LT 1.1 KV XLPE/PVC 3.5/4CX185/225/240 Sqmm Cable</t>
  </si>
  <si>
    <t>Making Straight Through Joint of LT 1.1 KV XLPE/PVC 3.5/4CX300/400 Sqmm Cable</t>
  </si>
  <si>
    <t>T Cum Straight through of LT 1.1 KV XLPE/PVC 2CX10,4CX10/16, 3.5C/4CX25 Sqmm Cable</t>
  </si>
  <si>
    <t>T Cum Straight through of LT 1.1 KV XLPE/PVC 3.5/4CX35/50/70 Sqmm Cable</t>
  </si>
  <si>
    <t>T Cum Straight through of LT 1.1 KV XLPE/PVC 3.5/4CX95/120 Sqmm Cable</t>
  </si>
  <si>
    <t>T Cum Straight through of LT 1.1 KV XLPE/PVC 3.5/4CX185/225/240 Sqmm Cable</t>
  </si>
  <si>
    <t>T Cum Straight through of LT 1.1 KV XLPE/PVC 3.5/4CX300/400 Sqmm Cable</t>
  </si>
  <si>
    <t>End Termination ID/OD of 11 KV XLPE/PILC 3CX95/120 Sqmm Cable</t>
  </si>
  <si>
    <t>End Termination ID/OD of 11 KV XLPE/PILC 3CX185/240 Sqmm Cable</t>
  </si>
  <si>
    <t>End Termination ID/OD of 11 KV XLPE/PILC 3CX300/400 Sqmm Cable</t>
  </si>
  <si>
    <t>End Termination ID/OD of LT 1.1 KV XLPE/PVC 2CX10,4CX10/16, 3.5C/4CX25 Sqmm Cable</t>
  </si>
  <si>
    <t>End Termination ID/OD of LT 1.1 KV XLPE/PVC 3.5/4CX35/50/70 Sqmm Cable</t>
  </si>
  <si>
    <t>End Termination ID/OD of LT 1.1 KV XLPE/PVC 3.5/4CX95/120 Sqmm Cable</t>
  </si>
  <si>
    <t>End Termination ID/OD of LT 1.1 KV XLPE/PVC 3.5/4CX185/225/240 Sqmm Cable</t>
  </si>
  <si>
    <t>End Termination ID/OD of LT 1.1 KV XLPE/PVC 3.5/4CX300/400 Sqmm Cable</t>
  </si>
  <si>
    <t>Making Protective Duct for cable joint complete as per WBSEDCL approved Drawing(DRG No-PLN(D)/SS/106 Date:05.05.2015)</t>
  </si>
  <si>
    <t>Supply &amp; Erection of Cable Marker</t>
  </si>
  <si>
    <t>Supply and fixing of GI pipe non TATA 50 mm Dia</t>
  </si>
  <si>
    <t>Mtr</t>
  </si>
  <si>
    <t>Supply and fixing of GI pipe non TATA 100 mm Dia</t>
  </si>
  <si>
    <t>Supply and fixing of GI pipe non TATA 150 mm Dia</t>
  </si>
  <si>
    <t>Making RCC/Cement Plinth/Foundation for 630 KVA DTR</t>
  </si>
  <si>
    <t>Making RCC/Cement Plinth/Foundation for 315/250 KVA DTR</t>
  </si>
  <si>
    <t>Making RCC/Cement Plinth/Foundation for L&amp; MV Kiosk</t>
  </si>
  <si>
    <t>Making RCC/Cement Plinth/Foundation for Distribution Feeder Piller Box</t>
  </si>
  <si>
    <t>Making RCC/Cement Plinth/Foundation for Distribution Block Junction Box/Plot Junction box</t>
  </si>
  <si>
    <t>Making RCC/Cement Plinth/Foundation for Distribution Service Junction box</t>
  </si>
  <si>
    <t>Making RCC/Cement Plinth/Foundation for Streect light Feeder Piller Box</t>
  </si>
  <si>
    <t>Making RCC/Cement Plinth/Foundation for O/D 11 KV 250/350 MVA 400/630A,3/4 way RMU</t>
  </si>
  <si>
    <t>Erection on Exixting Plinth/Foundation for 630 KVA DTR</t>
  </si>
  <si>
    <t>Erection on Exixting Plinth/Foundation for 315/250 KVA DTR</t>
  </si>
  <si>
    <t>Erection on Exixting Plinth/Foundation for L&amp; MV Kiosk</t>
  </si>
  <si>
    <t>Erection on Exixting Plinth/Foundation for Distribution Feeder Piller Box</t>
  </si>
  <si>
    <t>Erection on Exixting Plinth/Foundation for Distribution Block Junction Box/Plot Junction box</t>
  </si>
  <si>
    <t>Erection on Exixting Plinth/Foundation for Streect light Feeder Piller Box</t>
  </si>
  <si>
    <t>Erection on Exixting Plinth/Foundation L&amp; MV Metering Kiosk(LT Bulk Consumer)</t>
  </si>
  <si>
    <t>Earthing Arrangement with 3 mtr long 50 mm dia earth pipe &amp; 2 nos GI flat 40X6 mm by welding complete</t>
  </si>
  <si>
    <t>Erection of I/D 11 KV 250/350 MVA 400/630 A 3 way RMU, metering /non metering oCB VCB on Exixting Plinth</t>
  </si>
  <si>
    <t>Erection of O/D 11 KV 250/350 MVA 400/630 A 3 way RMU, metering /non metering oCB VCB on Exixting Plinth</t>
  </si>
  <si>
    <t xml:space="preserve">Erection of I/D 11 KV 250/350 MVA 400/630 A 3 way RMU, metering /non metering oCB VCB </t>
  </si>
  <si>
    <t>Erection of O/D 11 KV 250/350 MVA 400/630 A 3 way RMU, metering /non metering oCB VCB</t>
  </si>
  <si>
    <t>Erection of Shunt/ Series Trip I/D 11 KV 250/350 MVA, 400/800/1250 A metering/ non metering OCB VCB</t>
  </si>
  <si>
    <t>Drying out of 11 KV 3/4 way RMU/Single panel metering CT PT etc for improving of insulation value upto the suitable value</t>
  </si>
  <si>
    <t>Special Arrangement for covering of the 11 KV end jointing portion at 11 KV ISL or OCB,VCB</t>
  </si>
  <si>
    <t xml:space="preserve">Extention of cable end jointing box of Transformer HV side </t>
  </si>
  <si>
    <t>De-compounding of 11 KV cable joint end joint box &amp; clening of the box suitable for further use</t>
  </si>
  <si>
    <t>Making Jointing PIT only for 11 KV by excation of soil for making Uprooting &amp; return to storet(laying of platform with brick,temporary tent arrangement)</t>
  </si>
  <si>
    <t>Making Jointing PIT only for 1.1 KV excation of soil for making Uprooting &amp; return to storet(laying of platform with brick,temporary tent arrangement)</t>
  </si>
  <si>
    <t>Lifting &amp; Checking for fault detectof 11 KV XLPE/PILC 3CX35/50/70 Sqmm Cable</t>
  </si>
  <si>
    <t>Lifting &amp; Checking for fault detectof 11 KV XLPE/PILC 3CX95/120 Sqmm Cable</t>
  </si>
  <si>
    <t>Lifting &amp; Checking for fault detectof 11 KV XLPE/PILC 3CX185/240 Sqmm Cable</t>
  </si>
  <si>
    <t>Lifting &amp; Checking for fault detectof 11 KV XLPE/PILC 3CX300/400 Sqmm Cable</t>
  </si>
  <si>
    <t>Lifting &amp; Checking for fault detectof LT 1.1 KV XLPE/PVC 2CX10,4CX10/16, 3.5C/4CX25 Sqmm Cable</t>
  </si>
  <si>
    <t>Lifting &amp; Checking for fault detectof LT 1.1 KV XLPE/PVC 3.5/4CX35/50/70 Sqmm Cable</t>
  </si>
  <si>
    <t>Lifting &amp; Checking for fault detectof LT 1.1 KV XLPE/PVC 3.5/4CX95/120 Sqmm Cable</t>
  </si>
  <si>
    <t>Lifting &amp; Checking for fault detectof LT 1.1 KV XLPE/PVC 3.5/4CX185/225/240 Sqmm Cable</t>
  </si>
  <si>
    <t>Lifting &amp; Checking for fault detectof LT 1.1 KV XLPE/PVC 3.5/4CX300/400 Sqmm Cable</t>
  </si>
  <si>
    <t>Re-Laying &amp; Dressing of existing healthy portion of  11 KV XLPE/PILC 3CX95/120 Sqmm Cable</t>
  </si>
  <si>
    <t>Re-Laying &amp; Dressing of existing healthy portion of  11 KV XLPE/PILC 3CX185/240 Sqmm Cable</t>
  </si>
  <si>
    <t>Re-Laying &amp; Dressing of existing healthy portion of  11 KV XLPE/PILC 3CX300/400 Sqmm Cable</t>
  </si>
  <si>
    <t>Re-Laying &amp; Dressing of existing healthy portion of  LT 1.1 KV XLPE/PVC 2CX10,4CX10/16, 3.5C/4CX25 Sqmm Cable</t>
  </si>
  <si>
    <t>Re-Laying &amp; Dressing of existing healthy portion of  LT 1.1 KV XLPE/PVC 3.5/4CX35/50/70 Sqmm Cable</t>
  </si>
  <si>
    <t>Re-Laying &amp; Dressing of existing healthy portion of  LT 1.1 KV XLPE/PVC 3.5/4CX95/120 Sqmm Cable</t>
  </si>
  <si>
    <t>Re-Laying &amp; Dressing of existing healthy portion of  LT 1.1 KV XLPE/PVC 3.5/4CX185/225/240 Sqmm Cable</t>
  </si>
  <si>
    <t>Re-Laying &amp; Dressing of existing healthy portion of  LT 1.1 KV XLPE/PVC 3.5/4CX300/400 Sqmm Cable</t>
  </si>
  <si>
    <t>Dismantling &amp; return to store L&amp;MV Kiosk Box</t>
  </si>
  <si>
    <t>Dismantling &amp; return to store SJB/JB/Street light feeder piller Box</t>
  </si>
  <si>
    <t>Demolishing of exixting plinth including removal form work site L&amp;MV Kiosk Box</t>
  </si>
  <si>
    <t>Demolishing of exixting plinth including removal form work site SJB/JB/Street light feeder piller Box</t>
  </si>
  <si>
    <t>Fitting &amp; Fixing in complete MCCB 400A and Above</t>
  </si>
  <si>
    <t>Fitting &amp; Fixing in complete Mainswitch Rating 200A &amp; Above</t>
  </si>
  <si>
    <t>Fitting &amp; Fixing in complete Cutout set 200A &amp; Above</t>
  </si>
  <si>
    <t>Fitting &amp; Fixing in complete Cutout set 100A &amp; below</t>
  </si>
  <si>
    <t>Dismentaling in complete MCCB 400A and Above</t>
  </si>
  <si>
    <t>Dismentaling in complete Mainswitch Rating 200A &amp; Above</t>
  </si>
  <si>
    <t>Dismentaling in complete Cutout set 200A &amp; Above</t>
  </si>
  <si>
    <t>Dismentaling in complete Cutout set 100A &amp; below</t>
  </si>
  <si>
    <t>Supply &amp; installtion of Bus-bar made of galvanized iron of sze 600X25X4mm with 5 nos Hole</t>
  </si>
  <si>
    <t>Supply &amp; fixing of the cable Tag in cable</t>
  </si>
  <si>
    <t>Dismental of 11KV 250/350 MVA 400/630 A 3 way RMU, metering /non metering oCB VCB</t>
  </si>
  <si>
    <t>Dismental of 11 KV 250/350 MVA, 400/800/1250 A metering/ non metering OCB VCB  &amp; return to store</t>
  </si>
  <si>
    <t>Uprooting &amp; return to store of 11 KV XLPE/PILC 3CX35-120 Sqmm Cable</t>
  </si>
  <si>
    <t>Uprooting &amp; return to store of 11 KV XLPE/PILC 3CX150-240 Sqmm Cable</t>
  </si>
  <si>
    <t>Uprooting &amp; return to storeof 11 KV XLPE/PILC 3CX300-400 Sqmm Cable</t>
  </si>
  <si>
    <t>Uprooting &amp; reinstallation of 11 KV XLPE/PILC 3CX35-120 Sqmm Cable</t>
  </si>
  <si>
    <t>Uprooting &amp; reinstallation of 11 KV XLPE/PILC 3CX150-240 Sqmm Cable</t>
  </si>
  <si>
    <t>Uprooting &amp; reinstallation of  11 KV XLPE/PILC 3CX300-400 Sqmm Cable</t>
  </si>
  <si>
    <t>Uprooting &amp; return to store LT 1.1 KV XLPE/PVC 2CX10,4CX10/16, 3.5C/4CX25 Sqmm Cable</t>
  </si>
  <si>
    <t>Uprooting &amp; return to storet of LT 1.1 KV XLPE/PVC 3.5/4CX35/50/70 Sqmm Cable</t>
  </si>
  <si>
    <t>Uprooting &amp; return to storet of LT 1.1 KV XLPE/PVC 3.5/4CX95/120 Sqmm Cable</t>
  </si>
  <si>
    <t>Uprooting &amp; return to storet of LT 1.1 KV XLPE/PVC 3.5/4CX185/225/240 Sqmm Cable</t>
  </si>
  <si>
    <t>Uprooting &amp; return to storet of LT 1.1 KV XLPE/PVC 3.5/4CX300/400 Sqmm Cable</t>
  </si>
  <si>
    <t>Uprooting &amp; Re-installmentt of LT 1.1 KV XLPE/PVC 3.5/4CX35/50/70/95/120 Sqmm Cable</t>
  </si>
  <si>
    <t>Uprooting &amp; Re-installmentt of LT 1.1 KV XLPE/PVC 3.5/4CX185/225/240 Sqmm Cable</t>
  </si>
  <si>
    <t>Uprooting &amp; Re-installmentt of LT 1.1 KV XLPE/PVC 3.5/4CX300/400 Sqmm Cable</t>
  </si>
  <si>
    <t>Making end Terminationof LT 1.1 KV XLPE/PVC 3.5/4CX35/50/70 Sqmm Cable</t>
  </si>
  <si>
    <t>Making end Terminationof LT 1.1 KV XLPE/PVC 3.5/4CX95/120 Sqmm Cable</t>
  </si>
  <si>
    <t>Making end Terminationof LT 1.1 KV XLPE/PVC 3.5/4CX185/225/240 Sqmm Cable</t>
  </si>
  <si>
    <t>Making end Terminationof LT 1.1 KV XLPE/PVC 3.5/4CX300/400 Sqmm Cable</t>
  </si>
  <si>
    <t>De-compounding of 1.1 KV cable joint end joint box &amp; clening of the box suitable for further use</t>
  </si>
  <si>
    <t>Laying of HDPE pipe as per Micro-Tunneling work for laying of UG cable including supply of 160 mm dia HDPE pipe</t>
  </si>
  <si>
    <t>Laying of HDPE pipe as per Micro-Tunneling work for laying of UG cable including supply of 110 mm dia HDPE pipe</t>
  </si>
  <si>
    <t>Laying of HDPE pipe as per jack push method for laying of UG cable including supply of 160 mm dia HDPE pipe</t>
  </si>
  <si>
    <t>Laying of HDPE pipe as per jack push method for laying of UG cable including supply of 110 mm dia HDPE pipe</t>
  </si>
  <si>
    <t>Laying &amp; Dressing of 11 KV XLPE/PILC 3CX240 Sqmm Cable &amp; above  2 nos cable in a trench</t>
  </si>
  <si>
    <t>Laying &amp; Dressing of 11 KV XLPE/PILC 3CX85 Sqmm Cable &amp; below more than 2 nos cable in a trench</t>
  </si>
  <si>
    <t>Laying &amp; Dressing of 1.1 KV XLPE/PILC  185 Sqmm Cable &amp; below  2 nos cable in a trench</t>
  </si>
  <si>
    <t>Laying &amp; Dressing of 1.1 KV XLPE/PILC  240 Sqmm Cable &amp; above  2 nos cable in a trench</t>
  </si>
  <si>
    <t>Laying &amp; Dressing of 1.1 KV XLPE/PILC  185 Sqmm Cable &amp; below more than 2 nos cable in a trench</t>
  </si>
  <si>
    <t>Laying &amp; Dressing of 1.1 KV XLPE/PILC  240 Sqmm Cable &amp; abovemore than 2 nos cable in a trench</t>
  </si>
  <si>
    <t>KL</t>
  </si>
  <si>
    <t>C.I. REEL</t>
  </si>
  <si>
    <t>ITEM TYPE</t>
  </si>
  <si>
    <t>ITEM CODE</t>
  </si>
  <si>
    <t>UOM</t>
  </si>
  <si>
    <t>CENTRAL ITEM</t>
  </si>
  <si>
    <t>P C C POLE:8 Mtrs.Long</t>
  </si>
  <si>
    <t>P C C POLE:9 Mtrs.Long</t>
  </si>
  <si>
    <t>Steel Tubular Pole 9 Mtr long</t>
  </si>
  <si>
    <t>Steel Tubuar Pole 11 meter</t>
  </si>
  <si>
    <t>Rail Pole (10-13 Mtr Long )52 kg</t>
  </si>
  <si>
    <t>Rail Pole (11-13 Mtr Long )52 kg</t>
  </si>
  <si>
    <t>Steel Beam (Joist ),11 mtr long,37.1 kg/MT,Hot rolled ,Non-galvanized</t>
  </si>
  <si>
    <t>Steel Beam (Joist ),13 mtr long,37.1 kg/MT,Hot rolled ,Non-galvanized</t>
  </si>
  <si>
    <t>M.S Channel 100X50 mm</t>
  </si>
  <si>
    <t>M.S Channel 75X40 mm</t>
  </si>
  <si>
    <t>M.S Angle 65X65X6mm</t>
  </si>
  <si>
    <t>M.S Angle 50X50X6mm</t>
  </si>
  <si>
    <t>M.S Flat 50X6 mm</t>
  </si>
  <si>
    <t>M.S Flat 65X6 mm</t>
  </si>
  <si>
    <t>M.S Flat 65X8 mm</t>
  </si>
  <si>
    <t>M.S Flat 75X8 mm</t>
  </si>
  <si>
    <t>G.I. Stay Set H.T.</t>
  </si>
  <si>
    <t>G.I. Stay Set L.T.</t>
  </si>
  <si>
    <t>G.I. Earth Spike</t>
  </si>
  <si>
    <t>G.I. Wire 0.91mm</t>
  </si>
  <si>
    <t>G.I. Wire 3.15 mm</t>
  </si>
  <si>
    <t>G.I. Wire 4 mm</t>
  </si>
  <si>
    <t>G.I. Wire 5 mm</t>
  </si>
  <si>
    <t>G.I. Stay Wire 7/4 mm</t>
  </si>
  <si>
    <t>G.I. Stay Wire 7/3.15 mm</t>
  </si>
  <si>
    <t>G.I. Stay Wire 7/2.5 mm</t>
  </si>
  <si>
    <t>G.I. Stay Wire 3/12 SWG mm</t>
  </si>
  <si>
    <t>G.I . PIN 33 KV</t>
  </si>
  <si>
    <t>G.I . PIN 11 KV</t>
  </si>
  <si>
    <t>33 KV 580 mm CD Pin Insulator</t>
  </si>
  <si>
    <t>33 kv 840 mm CD Pin Insulator</t>
  </si>
  <si>
    <t xml:space="preserve">33 KV Post Insulator </t>
  </si>
  <si>
    <t>33 KV 900 mm CD Polymer Composite Pin Insulator</t>
  </si>
  <si>
    <t>33 KV Polymer Composite 70 KN Disc Insulator</t>
  </si>
  <si>
    <t>11 KV 230 mm CD Pin Insulator</t>
  </si>
  <si>
    <t>11 KV 320 mm CD Pin Insulator</t>
  </si>
  <si>
    <t>11 KV 70 KN Disc Insulator</t>
  </si>
  <si>
    <t>11 KV 45 KN Disc Insulator</t>
  </si>
  <si>
    <t>11 KV Post Insulator</t>
  </si>
  <si>
    <t>11 KV  320 mm CD Polymer Composite Pin Insulator</t>
  </si>
  <si>
    <t>11 KV Polymer Composite 45 KN Disc Insulator</t>
  </si>
  <si>
    <t>Composite Hardware Fittings for ACSR Weasel/Rabbit Conductor</t>
  </si>
  <si>
    <t xml:space="preserve">SET </t>
  </si>
  <si>
    <t>Composite Hardware Fittings for ACSR Dog Conductor</t>
  </si>
  <si>
    <t>Single tension hardwar fitting for wolf Conductor</t>
  </si>
  <si>
    <t>Single suspension  hardwar fitting for ACSR wolf Conductor</t>
  </si>
  <si>
    <t>Single tension hardwar fitting for Panther Conductor</t>
  </si>
  <si>
    <t>Single suspension hardwar fitting for Panther Conductor</t>
  </si>
  <si>
    <t>Lightning Arrester 42 KV 10 KA Porcelain housed gapless type</t>
  </si>
  <si>
    <t>Lightning Arrester 12 KV 5 KA Porcelain housed gapless type</t>
  </si>
  <si>
    <t xml:space="preserve">NOS </t>
  </si>
  <si>
    <t>TPGO Isolator :11 KV :400Amp</t>
  </si>
  <si>
    <t>TPGO Isolator :11 KV :200Amp</t>
  </si>
  <si>
    <t>33 KV 400 A TPGO Isolator (Rocking Type)</t>
  </si>
  <si>
    <t>33 KV 400A CR Type Isolator W/OES (H/L)</t>
  </si>
  <si>
    <t>33 KV 400A CR Type Isolator W/OES (L/L)</t>
  </si>
  <si>
    <t>33 KV 400A CR Type Isolator with ES (H/L)</t>
  </si>
  <si>
    <t>AAAC Weasel Conductor</t>
  </si>
  <si>
    <t>AAC ANT Conductor</t>
  </si>
  <si>
    <t xml:space="preserve">AAC GNAT Conductor </t>
  </si>
  <si>
    <t>AAAC Rabbit Conductor</t>
  </si>
  <si>
    <t>ACSR Squirrel (20 sq .mm.)Conductor</t>
  </si>
  <si>
    <t>ACSR Weasel (30 sq.mm.) Conductor</t>
  </si>
  <si>
    <t>ACSR Dog(100 sq .mm.)Conductor</t>
  </si>
  <si>
    <t>ACSR Wolf (150 sq .mm.)Conductor</t>
  </si>
  <si>
    <t>CABLE (PVC 1.1 KV GRADE) 2CX6 sq mm</t>
  </si>
  <si>
    <t>CABLE (PVC 1.1 KV GRADE) 3.5CX25 sq mm</t>
  </si>
  <si>
    <t>CABLE (PVC 1.1 KV GRADE) 2CX4 sq mm</t>
  </si>
  <si>
    <t>CABLE (PVC 1.1 KV GRADE) 3.5X95 sq mm</t>
  </si>
  <si>
    <t>CABLE (PVC 1.1 KV GRADE) 3.5CX185 sq mm</t>
  </si>
  <si>
    <t>CABLE (PVC 1.1 KV GRADE) 3.5X50 sq mm</t>
  </si>
  <si>
    <t>CABLE (PVC 1.1 KV GRADE) 3.5X300 sq mm</t>
  </si>
  <si>
    <t>CABLE (PVC 1.1 KV GRADE) 3.5X400sq mm</t>
  </si>
  <si>
    <t>CABLE (PVC 1.1 KV GRADE) 3.5X240 sq mm</t>
  </si>
  <si>
    <t>CABLE (PVC 1.1 KV GRADE) 4Core X10 sq mm</t>
  </si>
  <si>
    <t>CABLE (PVC 1.1 KV GRADE) 4CX16 sq mm</t>
  </si>
  <si>
    <t>CABLE (PVC 1.1 KV GRADE) 4CX25 sq mm</t>
  </si>
  <si>
    <t>CABLE (PVC 1.1 KV GRADE) 4CX50sq mm</t>
  </si>
  <si>
    <t>CABLE (PVC 1.1 KV GRADE) 4CX120 sq mm</t>
  </si>
  <si>
    <t>CABLE (PVC 1.1 KV GRADE) 4CX185 sq mm</t>
  </si>
  <si>
    <t>CABLE (PVC 1.1 KV GRADE) 4CX300 sq mm</t>
  </si>
  <si>
    <t>CABLE (XLPE 1.1 KV )1X25 sq mm</t>
  </si>
  <si>
    <t>CABLE (XLPE 1.1 KV )1X50 sq mm</t>
  </si>
  <si>
    <t>CABLE (XLPE 1.1 KV )1X95 sq mm</t>
  </si>
  <si>
    <t>CABLE (XLPE 1.1 KV )1X185 sq mm</t>
  </si>
  <si>
    <t>CABLE (XLPE 1.1 KV )1X120 sq mm</t>
  </si>
  <si>
    <t>CABLE (XLPE 1.1 KV )1X240 sq mm</t>
  </si>
  <si>
    <t>CABLE (XLPE 1.1 KV )3.5X25sq mm</t>
  </si>
  <si>
    <t>CABLE (XLPE 1.1 KV )3.5X50 sq mm</t>
  </si>
  <si>
    <t>CABLE (XLPE 1.1 KV )3.5X95sq mm</t>
  </si>
  <si>
    <t>CABLE (XLPE 1.1 KV )4X6 sq mm</t>
  </si>
  <si>
    <t>CABLE (XLPE 1.1 KV )4CX10 sq mm</t>
  </si>
  <si>
    <t>CABLE (XLPE 1.1 KV )4CX25sq mm</t>
  </si>
  <si>
    <t>CABLE (XLPE 1.1 KV )4CX50 sq mm</t>
  </si>
  <si>
    <t>CABLE (XLPE 1.1 KV )4CX120 sq mm</t>
  </si>
  <si>
    <t>CABLE (XLPE 1.1 KV )4CX185 sq mm</t>
  </si>
  <si>
    <t>CABLE (XLPE 1.1 KV )4CX300 sq mm</t>
  </si>
  <si>
    <t>CABLE (XLPE 11 KV )3CX95 sq mm</t>
  </si>
  <si>
    <t>CABLE (XLPE 11 KV )3CX185 sq mm</t>
  </si>
  <si>
    <t>CABLE (XLPE 11 KV )3CX300 sq mm</t>
  </si>
  <si>
    <t>CABLE (XLPE 11 KV )3CX400 sq mm</t>
  </si>
  <si>
    <t>CABLE (XLPE 33 KV ) 1X300 sq mm</t>
  </si>
  <si>
    <t>CABLE (XLPE 33 KV ) 1CX400 sq mm</t>
  </si>
  <si>
    <t>CABLE (XLPE 33 KV ) 1X1000 sq mm</t>
  </si>
  <si>
    <t>CABLE (XLPE 33 KV ) 3CX185  sq mm</t>
  </si>
  <si>
    <t>CABLE (XLPE 33 KV ) 3X300 sq mm</t>
  </si>
  <si>
    <t>CABLE (XLPE 33 KV ) 3X400 sq mm</t>
  </si>
  <si>
    <t xml:space="preserve">CABLE (LT AERIAL BUNCHED 1.1 KV ) 3CX50 +1CX35 sq mm </t>
  </si>
  <si>
    <t xml:space="preserve">CABLE (LT AERIAL BUNCHED 1.1 KV ) 3CX50 +1cx16+1CX35 sq mm </t>
  </si>
  <si>
    <t xml:space="preserve">CABLE (LT AERIAL BUNCHED 1.1 KV ) 3CX70+1CX16+1CX50 sq mm </t>
  </si>
  <si>
    <t xml:space="preserve">CABLE (HT AERIAL BUNCHED 11 KV ) 3CX50+1CX150 sq mm </t>
  </si>
  <si>
    <t>Wedge Connector for HT CABLE 1cx95 sq mm</t>
  </si>
  <si>
    <t>IPC for 50-70 sq mm both main &amp; service Cable for Connecting Distribution Box</t>
  </si>
  <si>
    <t xml:space="preserve">Bimetallic Crimping type watter proof LUG for 16 sq mm.1-phase street light </t>
  </si>
  <si>
    <t xml:space="preserve">Bimetallic Crimping type watter proof LUG for 35 sq mm .Neutral Messenger  </t>
  </si>
  <si>
    <t xml:space="preserve">Bimetallic Crimping type watter proof LUG for 50 sq mm .Power Cable  </t>
  </si>
  <si>
    <t>Cable End Cap for different size AB Cable</t>
  </si>
  <si>
    <t xml:space="preserve">Cable Tie with adjustable locking arrangement </t>
  </si>
  <si>
    <t>Tee Joint tap off from HT ABC to DTR for 1CX95 sqmm</t>
  </si>
  <si>
    <t>Termination KIT O/D heat shrinkable for HT Cable 1Cx95 sq.mm.</t>
  </si>
  <si>
    <t>Joint KIT straght through heat shrinkable for HT Cable 1CX95 sq.mm.</t>
  </si>
  <si>
    <t>Eye hook for Ancho .&amp; Suspon .Clamp</t>
  </si>
  <si>
    <t>CLAMP FOR 8M PCC POLE</t>
  </si>
  <si>
    <t xml:space="preserve">Anchor Clamp suitable for 180sq.mm. Messenger Conductor </t>
  </si>
  <si>
    <t xml:space="preserve">Suspension Clamp Suitable for 180sq.mm. Messenger Conductor </t>
  </si>
  <si>
    <t>PAD Connector for HT Cable 1CX95 sq.mm.</t>
  </si>
  <si>
    <t>COPPER (CONTROL CABLE 1.1 KV GRADE) 12 C X2.5 sq.mm.</t>
  </si>
  <si>
    <t>COPPER (CONTROL CABLE 1.1 KV GRADE) 8 C X2.5 sq.mm.</t>
  </si>
  <si>
    <t>COPPER (CONTROL CABLE 1.1 KV GRADE) 4 C X2.5 sq.mm.</t>
  </si>
  <si>
    <t>DTR 10KV 11/0.433 KV</t>
  </si>
  <si>
    <t>DTR 16KV 11/0.433 KV</t>
  </si>
  <si>
    <t>DTR 25KV 11/0.433 KV</t>
  </si>
  <si>
    <t>DTR 63KV 11/0.433 KV</t>
  </si>
  <si>
    <t>DTR 100KV 11/0.433 KV</t>
  </si>
  <si>
    <t>DTR 160KV 11/0.433 KV</t>
  </si>
  <si>
    <t>DTR 315KV 11/0.433 KV (I/D)</t>
  </si>
  <si>
    <t>DTR 315KV 11/0.433 KV (O/D)</t>
  </si>
  <si>
    <t>DTR 630KV 11/0.415 KV (I/D) Dry Type</t>
  </si>
  <si>
    <t>DTR 630KV 11/0.415 KV (O/D) Dry Type</t>
  </si>
  <si>
    <t>DTR 800KV 11/0.415 KV (I/D)</t>
  </si>
  <si>
    <t>DTR 1000KV 11/0.415KV (I/D)</t>
  </si>
  <si>
    <t>3.15 MVA 33/11 KV POWER TRANSFORMER</t>
  </si>
  <si>
    <t>6.3 MVA 33/11 KV POWER TRANSFORMER</t>
  </si>
  <si>
    <t xml:space="preserve">RTCC Panel for 6.3 MVA  Transformer </t>
  </si>
  <si>
    <t>10 MVA 33/11 KV POWER TRANSFORMER</t>
  </si>
  <si>
    <t xml:space="preserve">RTCC Panel for 10 MVA  Transformer </t>
  </si>
  <si>
    <t xml:space="preserve">100 KVA 33/0.415 KV Station Service Transformer </t>
  </si>
  <si>
    <t>Transformer Oil (EVH Grade)</t>
  </si>
  <si>
    <t>Plante Type 30 V 75 AH YKP7 Lead-acid battery set</t>
  </si>
  <si>
    <t>Battery charger 30 V 20.5 A for charging 30V 75 AH battery</t>
  </si>
  <si>
    <t>Electrolytes for 30V,100AH Plante Type lead acid battery</t>
  </si>
  <si>
    <t>30V 100AH Plant Type Lead Acide Battery</t>
  </si>
  <si>
    <t>30V,35A Auto&amp;Manual,Float-cum-Boost,Thyristor controlled Battery Charger.</t>
  </si>
  <si>
    <t>33 KV PT:1PHASE OD TYPE :RATIO:33/V3/0.11/V 3 KV</t>
  </si>
  <si>
    <t>33 KV CT(1 PHASE):OD TYPE :DUAL CORE CT RATIO-100-50/5-5A</t>
  </si>
  <si>
    <t>33 KV CT(1 PHASE):OD TYPE :DUAL CORE CT RATIO-400-200/1-1A</t>
  </si>
  <si>
    <t>33 KV CT(1 PHASE):OD TYPE :DUAL CORE CT RATIO-400-200/1-1-1A</t>
  </si>
  <si>
    <t>33 KV CT(1 PHASE):OD TYPE :DUAL CORE CT RATIO-200-100/1-1-1A</t>
  </si>
  <si>
    <t>33 KV CT(1 PHASE):OD TYPE :DUAL CORE CT RATIO-200-100/1-1A</t>
  </si>
  <si>
    <t>33 KV CT(1 PHASE):OD TYPE :DUAL CORE CT RATIO-100-50/1-1A</t>
  </si>
  <si>
    <t>LT Current Transformer Ring Type Ratio-200/5 Amps</t>
  </si>
  <si>
    <t>11 KV COMBINED CT&amp;PT with CT ratio 200-100/1A</t>
  </si>
  <si>
    <t>11 KV COMBINED CT&amp;PT with CT ratio 300-150/1A</t>
  </si>
  <si>
    <t>11 KV COMBINED CT&amp;PT with CT ratio 300-150/5A</t>
  </si>
  <si>
    <t>11 KV COMBINED CT&amp;PT with CT ratio 200-100/5A</t>
  </si>
  <si>
    <t>33 KV Indoor Composite Panel with VCB (2+2+2+1+1)</t>
  </si>
  <si>
    <t>33 KV Control Relay panel for group Control of Power Transformer with CE</t>
  </si>
  <si>
    <t>33 KV Control Relay panel for group Control of Power Transformer without CE</t>
  </si>
  <si>
    <t>33 KV C.R panel forindividual Control of Power Transformer W/O Differencial</t>
  </si>
  <si>
    <t>33 KV Control panel for individual Control of power Transformer with Differenial Realy</t>
  </si>
  <si>
    <t>33 KV Control &amp; Relay Panel,With Differential Relay SCADA Compatible for individual Transformer Control</t>
  </si>
  <si>
    <t xml:space="preserve">33 KV C.R panel feeder Control Panel with Non-Directional Relay </t>
  </si>
  <si>
    <t>33 KV Control &amp; Relay Panel,With Directional Relay SCADA Compatible for Feeder Control</t>
  </si>
  <si>
    <t xml:space="preserve">33 KV C.R panel feeder Control Panel with Directional Relay </t>
  </si>
  <si>
    <t xml:space="preserve">33 KV C.R panel feeder Control Panel W/O CE </t>
  </si>
  <si>
    <t>Switch Gear-12 KV 18.4 KV Series Trip Metering complete with VCB with CT&amp;PT  and CT RATIO-100-50/5-5A</t>
  </si>
  <si>
    <t>Switch Gear-12 KV 18.4 KV Series Trip Metering complete with VCB with CT&amp;PT  and CT RATIO-50-25/5-5A</t>
  </si>
  <si>
    <t>Switch Gear-12 KV 18.4 KV Series Trip Metering complete with VCB with CT&amp;PT  and (RMU) CT RATIO-100-50/5-5A</t>
  </si>
  <si>
    <t>Switch Gear-12 KV 18.4 KV Series Trip Metering complete with VCB with CT&amp;PT  and (RMU)  CT RATIO-50-25/5-5A</t>
  </si>
  <si>
    <t>11KV Non Extensible 4 Way Outdoor SF6 Insulated RMU</t>
  </si>
  <si>
    <t>Switchgear (Shunt Trip) with VCB (12KV 350 MVA 1250/800A) 16 PNL (4+3+9)</t>
  </si>
  <si>
    <t>Switchgear (Shunt Trip) with VCB (12KV 350 MVA 1250/800A) 15 PNL (3+2+9) for 10MVA Transformer</t>
  </si>
  <si>
    <t>Switchgear (Shunt Trip) with VCB (12KV 350 MVA 1250/800A) 14 PNL (3+3+8)</t>
  </si>
  <si>
    <t>Switchgear (Shunt Trip) with VCB (12KV 350 MVA 1250/800A) 13 PNL (4+3+6)</t>
  </si>
  <si>
    <t>Switchgear (Shunt Trip) with VCB (12KV 350 MVA 1250/800A) 14 PNL (4+3+7)</t>
  </si>
  <si>
    <t>Switchgear (Shunt Trip) with VCB (12KV 350 MVA 1250/800A) 11 PNL (3+2+6) for 10MVA Transformer</t>
  </si>
  <si>
    <t>Switchgear (Shunt Trip) with VCB (12KV 350 MVA 1250/800A) 11 PNL (2+1+8)</t>
  </si>
  <si>
    <t>Switchgear (Shunt Trip) with VCB (12KV 350 MVA 1250/800A) 3 PNL (1+0+2) for 6.3 MVA Transformer</t>
  </si>
  <si>
    <t>Switchgear (Shunt Trip) with VCB (12KV 350 MVA 1250/800A) 9 PNL (3+2+4)</t>
  </si>
  <si>
    <t>Switchgear (Shunt Trip) with VCB (12KV 350 MVA 1250/800A) 5 PNL (2+1+2)</t>
  </si>
  <si>
    <t>Switchgear (Shunt Trip) with VCB (12KV 350 MVA 1250/800A) 3 PNL (1+1+1)</t>
  </si>
  <si>
    <t>Switchgear (Shunt Trip) with VCB (12KV 350 MVA 1250/800A) 1PNL (0+0+1)</t>
  </si>
  <si>
    <t>Switchgear (Shunt Trip) with VCB (12KV 350 MVA 1250/800A) 10 PNL (2+1+7)</t>
  </si>
  <si>
    <t>Switchgear (Shunt Trip) with VCB (12KV 350 MVA 1250/800A) 10 PNL (2+2+6)</t>
  </si>
  <si>
    <t>Switchgear (Shunt Trip) with VCB (12KV 350 MVA 1250/800A) 10 PNL (3+2+5)</t>
  </si>
  <si>
    <t>Switchgear (Shunt Trip) with VCB (12KV 350 MVA 1250/800A) 9 PNL (2+1+6) for 6.3 MVA Transformer</t>
  </si>
  <si>
    <t>Switchgear (Shunt Trip) with VCB (12KV 350 MVA 1250/800A) 9 PNL (2+1+6) for 10 MVA Transformer</t>
  </si>
  <si>
    <t>Switchgear (Shunt Trip) with VCB (12KV 350 MVA 1250/800A) 8 PNL (2+1+5) for 10 MVA Transformer</t>
  </si>
  <si>
    <t>Switchgear (Shunt Trip) with VCB (12KV 350 MVA 1250/800A) 9 PNL (2+1+5) for 6.3 MVA Transformer</t>
  </si>
  <si>
    <t>Switchgear (Shunt Trip) with VCB (12KV 350 MVA 1250/800A) 8 PNL (2+2+4)</t>
  </si>
  <si>
    <t>Switchgear (Shunt Trip) with VCB (12KV 350 MVA 1250/800A) 7 PNL (2+1+4) for 10 MVA Transformer</t>
  </si>
  <si>
    <t>Switchgear (Shunt Trip) with VCB (12KV 350 MVA 1250/800A) 4 PNL (1+1+4) for 10 MVA Transformer</t>
  </si>
  <si>
    <t>Switchgear (Shunt Trip) with VCB (12KV 350 MVA 1250/800A) 4 PNL (1+1+2) for 6.3 MVA Transformer</t>
  </si>
  <si>
    <t>Switchgear (Shunt Trip) with VCB (12KV 350 MVA 1250/800A) 4 PNL (0+0+4)</t>
  </si>
  <si>
    <t>Switchgear (Shunt Trip) with VCB (12KV 350 MVA 1250/800A) 4 PNL (1+0+3)</t>
  </si>
  <si>
    <t>Switchgear (Shunt Trip) with VCB (12KV 350 MVA 1250/800A) 2 PNL (1+0+1) for 10 MVA Transformer</t>
  </si>
  <si>
    <t>Switchgear (Shunt Trip) with VCB (12KV 350 MVA 1250/800A) 1 PNL (0+0+1) for 6.3 MVA Transformer</t>
  </si>
  <si>
    <t>Switchgear (Shunt Trip) with VCB (12KV 350 MVA 1250/800A) 3 PNL (1+0+2)</t>
  </si>
  <si>
    <t>Switchgear (Shunt Trip) with VCB (12KV 350 MVA 1250/800A) 3 PNL (0+0+3)</t>
  </si>
  <si>
    <t>Switchgear (Shunt Trip) with VCB (12KV 350 MVA 1250/800A) 2 PNL (0+0+2)</t>
  </si>
  <si>
    <t>Single Phase Static Meter (5-30)A With P.P.Box</t>
  </si>
  <si>
    <t>Single Phase Static Meter (5-30)A Without P.P.Box</t>
  </si>
  <si>
    <t>Three Phase Static Meter (5-30)A</t>
  </si>
  <si>
    <t xml:space="preserve">Three Phase (5-30) A, DLMS Compliant ,Whole current Staic Meter </t>
  </si>
  <si>
    <t>Three Phase Static Meter (5-30)A Import-Export type</t>
  </si>
  <si>
    <t>Three Phase Static Meter (10-60)A</t>
  </si>
  <si>
    <t>Three Phase Static Meter (20-100)A</t>
  </si>
  <si>
    <t>Three Phase Static Meter (20-100)A Import-Export type</t>
  </si>
  <si>
    <t>Energy Meter 3 Phase 4 Wire,CT/PT operated,CT Ratio 100/1A, Accuracy:0.5s. For 33 KV Bulk Consumer</t>
  </si>
  <si>
    <t>Energy Meter 3 Phase 3 Wire,CT/PT operated AMR compatible Tri-Vector Meter For 11 KV Sub Station Feeder</t>
  </si>
  <si>
    <t>Energy Meter 3 Phase 4 Wire,CT Ratio 100/5A for 33 KV Bulk Consumer</t>
  </si>
  <si>
    <t>Energy Meter 3 Phase LT TOD Import Export type 50KV to 125 KVA</t>
  </si>
  <si>
    <t>Energy Meter 3 Phase 4 Wire,CT-PT operated HT Trivector TOD for 132 KV Bulk</t>
  </si>
  <si>
    <t xml:space="preserve">Energy Meter 1 Phase 2 Wire,Static 132 KV CT-PT operated HT Trivector TOD Energy Meter  for 132 KV Bulk Traction Power Supply </t>
  </si>
  <si>
    <t>Energy Meter 1 Phase 2 Wire,Static Whole Current Pre Paid Meter Of Rating 3 x20-</t>
  </si>
  <si>
    <t>Energy Meter 1 Phase 2 Wire,Static 132 KV CT-PT operated HT Trivector TOD Energy Meter  for 132 KV Bulk Traction Power application, accuracy class 0.2</t>
  </si>
  <si>
    <t>1-phase (10-60 Amp) Pre-Paid Energy Meter</t>
  </si>
  <si>
    <t>Energy Meter 3 Phase 4 Wire CT Ratio 100/5A For Bulk Consumer</t>
  </si>
  <si>
    <t>Energy Meter 3 Phase 4 Wire CT Ratio 200/5A For Bulk Consumer</t>
  </si>
  <si>
    <t>Energy Meter 3 Phase 3 Wire,CT/PT operated AMR compatible Tri-Vector  For DTR with pilfer proof meter box</t>
  </si>
  <si>
    <t>Energy Meter 3 Phase 3 Wire Non DLMS with CT Ratio 50/5A for 11 KV Bulk</t>
  </si>
  <si>
    <t>3-Ph 3-Wire CT/PT operated ARM compatible Tri-Vector Meter for 33 KV sub-Station Feeder</t>
  </si>
  <si>
    <t>Energy Meter 3 Phase 40 Wire With  DLMS with CT Ratio 50/5A for 11 KV Bulk Consumer</t>
  </si>
  <si>
    <t>Energy Meter for DTR upto 100 KVA rating with MODEM and inbuild CT</t>
  </si>
  <si>
    <t>Static Electronic Trivector Meter Muliti Feeder Meter (2 Feeder) with summation</t>
  </si>
  <si>
    <t xml:space="preserve">Energy Meter 1 Phase 2 Wire LT Static Whole Current Pre Payment Meter of Rating 10 </t>
  </si>
  <si>
    <t>Polycarbonate Security Seal 20cm (orange colour)</t>
  </si>
  <si>
    <t>Polycarbonate Security Seal (Patented) 20cm (Light Green  colour)</t>
  </si>
  <si>
    <t>Polycarbonate Security Seal (Patented) 20cm (Barcoded Yellow colour)</t>
  </si>
  <si>
    <t>Polycarbonate Security Seal (Patented) 40cm (Transperent  colour)</t>
  </si>
  <si>
    <t>LPR MoDul with MRI &amp; accessories for 3X(10-60) A Energy Meter</t>
  </si>
  <si>
    <t>Re-wirable Porcelain Cut Out Fuse Unit 63 Amp</t>
  </si>
  <si>
    <t>Re-wirable Porcelain Cut Out Fuse Unit 16 Amp</t>
  </si>
  <si>
    <t>Re-wirable Porcelain Cut Out Fuse Unit 32 Amp</t>
  </si>
  <si>
    <t>Re-wirable Porcelain Cut Out Fuse Unit 100 Amp</t>
  </si>
  <si>
    <t>Re-wirable Porcelain Cut Out Fuse Unit 200 Amp</t>
  </si>
  <si>
    <t>Re-wirable Porcelain Cut Out Fuse Unit 300 Amp</t>
  </si>
  <si>
    <t>Re-wirable Porcelain Cut Out Fuse Unit 400 Amp</t>
  </si>
  <si>
    <t>Re-wirable Porcelain Cut Out Fuse Unit 500 Amp</t>
  </si>
  <si>
    <t>LOCAL ITEM</t>
  </si>
  <si>
    <t>D' IRON CLAMP</t>
  </si>
  <si>
    <t>SHACKLE STRAP WITH NUT &amp; BOLTS</t>
  </si>
  <si>
    <t>PLASTIC TAP/ROLL</t>
  </si>
  <si>
    <t>SHACKLE INSULATOR (3"X31/2")</t>
  </si>
  <si>
    <t>GUY INSULATOR (HT)</t>
  </si>
  <si>
    <t>GUY INSULATOR (LT)</t>
  </si>
  <si>
    <t>INDOOR TYPE XLPE CABLE JOINTING KIT,11 KV 3X95 sq. mm.</t>
  </si>
  <si>
    <t>INDOOR TYPE XLPE CABLE JOINTING KIT,3X185 sq. mm.</t>
  </si>
  <si>
    <t>INDOOR TYPE XLPE CABLE JOINTING KIT,3X300 sq.mm.</t>
  </si>
  <si>
    <t>OUTDOOR TYPE XLPE CABLE JOINTING KIT,3X95 sq. mm.</t>
  </si>
  <si>
    <t>OUTDOOR TYPE XLPE CABLE JOINTING KIT,3X185 sq. mm.</t>
  </si>
  <si>
    <t>OUTDOOR TYPE XLPE CABLE JOINTING KIT,3X300 sq.mm.</t>
  </si>
  <si>
    <t>STRAIGHT THROUGH TYPE XLPE CABLE JOINTING KIT,3X95 sq. mm.</t>
  </si>
  <si>
    <t>STRAIGHT THROUGH TYPE XLPE CABLE JOINTING KIT,3X185 sq. mm.</t>
  </si>
  <si>
    <t>STRAIGHT THROUGH TYPE XLPE CABLE JOINTING KIT,3X300 sq.mm.</t>
  </si>
  <si>
    <t>1.1 KV STRAIGHT THROUGH JOINTING KIT,4CX50</t>
  </si>
  <si>
    <t>1.1 KV STRAIGHT THROUGH JOINTING KIT,4CX95</t>
  </si>
  <si>
    <t>1.1 KV STRAIGHT THROUGH JOINTING KIT,4CX120</t>
  </si>
  <si>
    <t>1.1 KV STRAIGHT THROUGH JOINTING KIT,4CX185</t>
  </si>
  <si>
    <t>1.1 KV STRAIGHT THROUGH JOINTING KIT,4CX240</t>
  </si>
  <si>
    <t>1.1 KV STRAIGHT THROUGH JOINTING KIT,4CX300</t>
  </si>
  <si>
    <t>1.1 KV STRAIGHT THROUGH JOINTING KIT,4CX400</t>
  </si>
  <si>
    <t>1.1 KV 'T' JOINTING KIT,4CX50-16/25</t>
  </si>
  <si>
    <t>1.1 KV 'T' JOINTING KIT,4CX70-16/25</t>
  </si>
  <si>
    <t>1.1 KV 'T' JOINTING KIT,4CX95-16/25</t>
  </si>
  <si>
    <t>UG CABLE</t>
  </si>
  <si>
    <t>Laying &amp; Dressing of 11 KV XLPE/PILC 3CX185 Sqmm Cable &amp; below  2 nos cable in a trench</t>
  </si>
  <si>
    <t>LT Distribution Box along with steel Strap &amp; Buckle for 3ph connection in ABC system</t>
  </si>
  <si>
    <t>Laying &amp; Dressing of 11 KV XLPE/PILC 3CX240 Sqmm Cable &amp; above more than 2 nos cable in a trench</t>
  </si>
  <si>
    <t>Total Material</t>
  </si>
  <si>
    <t>Labour</t>
  </si>
  <si>
    <t>Material</t>
  </si>
  <si>
    <t>A.</t>
  </si>
  <si>
    <t>B.</t>
  </si>
  <si>
    <t>C.</t>
  </si>
  <si>
    <t>D.</t>
  </si>
  <si>
    <t>E.</t>
  </si>
  <si>
    <t>F.</t>
  </si>
  <si>
    <t>G.</t>
  </si>
  <si>
    <t>Total (A+B)</t>
  </si>
  <si>
    <t>Total(C+D)</t>
  </si>
  <si>
    <t>Cess @1% on E</t>
  </si>
  <si>
    <t>GST @18% on (B+D)</t>
  </si>
  <si>
    <t>Grand Total (E+F+G)</t>
  </si>
  <si>
    <t>16 KVA DTR Replacement &amp; return to store</t>
  </si>
  <si>
    <t>25 KVA DTR Relpacement &amp; return to store</t>
  </si>
  <si>
    <t>63 KVA DTR Relpacement &amp; return to store</t>
  </si>
  <si>
    <t>100 KVA DTR Relpacement &amp; return to store</t>
  </si>
  <si>
    <t>Numbering of Pole</t>
  </si>
  <si>
    <t>Sundries @5% on Mat.</t>
  </si>
  <si>
    <t>cum</t>
  </si>
  <si>
    <t>Laying &amp; Dressing of 1.1 KV PVC/XLPE  3.5/4x300/400 Sqmm Cable</t>
  </si>
  <si>
    <t>Dismantling &amp; return to store of ACSR 50 SQmm by 1 wire(1.8/2.4/3) (1139/Wire)</t>
  </si>
  <si>
    <t>Re-sagg of ACSR 50 SQmm by 1 wire(1.8/2.4/3) (712/W)</t>
  </si>
  <si>
    <t>Re-sagg of ACSR 30/20 SQmm by 1 wire(1.8/2.4/3) (688/W)</t>
  </si>
  <si>
    <t>UG 33KV</t>
  </si>
  <si>
    <t>Survey of HT &amp; LT Cable with inscribing different landmarks</t>
  </si>
  <si>
    <t>Excavation of Soil for making trial Hole (Minm Size 1.1x.5x1.2d)</t>
  </si>
  <si>
    <t>Excavation of Soil for formation of Cable Trenches &amp; Reinstallment</t>
  </si>
  <si>
    <t>Excavation of soil along the exist cable route for formation of cable trenches with uprooting covers</t>
  </si>
  <si>
    <t>Excavation of Soil by cutting metallic road/cement/brick &amp;Reinstallment</t>
  </si>
  <si>
    <t>Excavation of Soil by cutting metallic road/cement/brick &amp;Reinstallment massenery/chequered plate</t>
  </si>
  <si>
    <t>Supply &amp; laying RCC Spun Pipe (NP-3) -225mm Dia</t>
  </si>
  <si>
    <t>Supply &amp; laying RCC Spun Pipe (NP-3) -150mm Dia</t>
  </si>
  <si>
    <t>Supply of having proper size (Burdwan)</t>
  </si>
  <si>
    <t>laying of Bricks as per instriction of Site Engineer</t>
  </si>
  <si>
    <t>Laying &amp; Dressing 33KV XLPE- 3x185/240 sq mm</t>
  </si>
  <si>
    <t>Laying &amp; Dressing 33KV XLPE- 3x300/400 sq mm</t>
  </si>
  <si>
    <t>Making Straight/Transition joint 33KV XLPE Without Supply-3x185/240 sq mm</t>
  </si>
  <si>
    <t>Making Straight/Transition joint 33KV XLPE Without Supply-3x300/400 sq mm</t>
  </si>
  <si>
    <t>Making End Termination ID/OD for 33KV XLPE-3x185/240 sq mm</t>
  </si>
  <si>
    <t>Making End Termination ID/OD for 33KV XLPE-3x300/400 sq mm</t>
  </si>
  <si>
    <t>Making protective Duct for cable joint complete as per WBSEDCL approved Drawing(DRG No-PLN(D)/SS/127 Date:23.06.2015)</t>
  </si>
  <si>
    <t>Supply&amp; Erection of Cast Iron Cable Marker on Concrete foundation</t>
  </si>
  <si>
    <t>Supply &amp; Fixing of G.I Pipe (Medium)-150mm Dia TATA</t>
  </si>
  <si>
    <t>Supply &amp; Fixing of G.I Pipe (Medium)-200mm Dia TATA/Jindal/EQV</t>
  </si>
  <si>
    <t>Making of Jointing Pit only by excavation of soil making strainght trrough including laying bricks</t>
  </si>
  <si>
    <t>Lifting &amp; Checking 33KV XLPE- 3x185/240 sq mm</t>
  </si>
  <si>
    <t>Lifting &amp; Checking 33KV XLPE- 3x300/400 sq mm</t>
  </si>
  <si>
    <t>Relaying &amp; Dressing Of Healthy 33 KV XLPE-3x185/240 sq mm</t>
  </si>
  <si>
    <t>Relaying &amp; Dressing Of Healthy 33 KV XLPE-3x300/400 sq mm</t>
  </si>
  <si>
    <t>Uprooting &amp; Return to Store-3x185/240 sq mm</t>
  </si>
  <si>
    <t>Uprooting &amp; Return to Store-3x300/400 sq mm</t>
  </si>
  <si>
    <t>Microtunneling with supply &amp; laying of HDPE pipe-160mm Dia</t>
  </si>
  <si>
    <t>Microtunneling with supply &amp; laying of HDPE pipe-200mm Dia</t>
  </si>
  <si>
    <t>Supply &amp; Laying of HDPE Pipe as per Jack Push-160mm Dia</t>
  </si>
  <si>
    <t>Supply &amp; Laying of HDPE Pipe as per Jack Push-200mm Dia</t>
  </si>
  <si>
    <t>Supply &amp; Laying of G.I Pipe as per Jack Push-200mm Dia TATA/JINDAL/EQV-Rail Crossing</t>
  </si>
  <si>
    <t>Supply &amp; Laying of G.I. Pipe as per Jack Push-150mm Dia TATA-Rail Crossing</t>
  </si>
  <si>
    <t>Labour Cost</t>
  </si>
  <si>
    <t>Laying of 33KV XLPE-Double Cable-3x185/240 sq mm</t>
  </si>
  <si>
    <t>Laying of 33KV XLPE-Double Cable-3x300/400 sq mm</t>
  </si>
  <si>
    <t>GI pipe earthing with supply of all materials</t>
  </si>
  <si>
    <t>Dismantling &amp; return to store of ACSR 100 SQmm by 1 wire(1.8/2.4/3)(3001/Wire)</t>
  </si>
  <si>
    <t>ACSR Rabbit (50 sq .mm.)Conductor</t>
  </si>
  <si>
    <t>Extention of PCC pole up to 3 mtr with paint</t>
  </si>
  <si>
    <t>Fixing of Lead wire upto 30 Mtr 4 wire</t>
  </si>
  <si>
    <t>Fixing of Lead wire upto 60 Mtr 4 wire</t>
  </si>
  <si>
    <t>LT Spacer 1 PHASE 2 WIRE</t>
  </si>
  <si>
    <t>LT Spacer 2 PHASE 3 WIRE</t>
  </si>
  <si>
    <t>LT Spacer 3 PHASE 4 WIRE</t>
  </si>
  <si>
    <t>LT Spacer 3 PHASE 5 WIRE</t>
  </si>
  <si>
    <t>Fixing of Lead wire upto 100 Mtr 4 wire</t>
  </si>
  <si>
    <t>OUTDOOR TYPE XLPE CABLE JOINTING KIT,3X185 sq. mm. 33KV</t>
  </si>
  <si>
    <t>OUTDOOR TYPE XLPE CABLE JOINTING KIT,3X300 sq. mm. 33 KV</t>
  </si>
  <si>
    <t>OUTDOOR TYPE XLPE CABLE JOINTING KIT,3X400 sq.mm. 33 KV</t>
  </si>
  <si>
    <t>INDOOR TYPE XLPE CABLE JOINTING KIT,3X300 sq.mm. 33KV</t>
  </si>
  <si>
    <t>Survey of HT &amp; LT cable Route &amp; submission of route survey drawing</t>
  </si>
  <si>
    <t>Excatation of Soil for making Trial hole(1.1MX.5MX1.2M)(new)</t>
  </si>
  <si>
    <t>CUM</t>
  </si>
  <si>
    <t>Dismantling &amp; return to store of ACSR 30/20 SQmm by 4 wire(1.8/2.4/3) (1101/Wire)</t>
  </si>
  <si>
    <t>Fixing of Angle Iron Bracket with paint</t>
  </si>
  <si>
    <t>Erection of Steel Tubular 9 MTR Long S/P</t>
  </si>
  <si>
    <t>H.</t>
  </si>
  <si>
    <t>Excavation of soil for formation of Cable trenches &amp; reinstatement of soil</t>
  </si>
  <si>
    <t>Dismantaling &amp; Return to store HT Bracket/Top adpt in 11 KV</t>
  </si>
  <si>
    <t>Re Fixing of  11 KV pin insulator</t>
  </si>
  <si>
    <t>Re-Fixing of 11 KV disc insulator</t>
  </si>
  <si>
    <t>Dismantaling &amp; return to store HT AB Cable 3X95+1X180 SQMM</t>
  </si>
  <si>
    <t>Dismantaling &amp; return to store HT AB Cable 3X50+1X105 SQMM</t>
  </si>
  <si>
    <t>WIDE FLANGE BEAM 11M LONG WBP 160x160x30.44 kg/m with grade E300</t>
  </si>
  <si>
    <t>M.S Flat 75X12 mm</t>
  </si>
  <si>
    <t>11 KV 120 KN Disc Insulator</t>
  </si>
  <si>
    <t>ACSR Panther (200 sq .mm.)Conductor</t>
  </si>
  <si>
    <t>CABLE (XLPE 1.1 KV )1X630 sq mm</t>
  </si>
  <si>
    <t>CABLE (XLPE 11 KV )1CX1000 sq mm</t>
  </si>
  <si>
    <t>DTR 250KV 11/0.433 KV</t>
  </si>
  <si>
    <t>M.S.'V' BRACKET 11 KV FOR PCC 8MTR POLE</t>
  </si>
  <si>
    <t>M.S.'V' BRACKET 11 KV FOR PCC 9MTR POLE</t>
  </si>
  <si>
    <t>M.S.'V' BRACKET 11 KV FOR RAIL POLE</t>
  </si>
  <si>
    <t>M.S.'V' BRACKET 33 KV FOR PCC 9MTR POLE</t>
  </si>
  <si>
    <t>M.S.'V' BRACKET 33 KV FOR RAIL POLE</t>
  </si>
  <si>
    <t>M.S. TOP ADOPTER 11 KV FOR PCC 8MTR POLE</t>
  </si>
  <si>
    <t>M.S. TOP ADOPTER 11 KV FOR PCC 9MTR POLE</t>
  </si>
  <si>
    <t>M.S. TOP ADOPTER 11 KV FOR RAIL POLE</t>
  </si>
  <si>
    <t>M.S. TOP ADOPTER 33 KV FOR PCC 9MTR POLE</t>
  </si>
  <si>
    <t>M.S. TOP ADOPTER 33 KV FOR RAIL POLE</t>
  </si>
  <si>
    <t>L.T. METER KIOSK 415V</t>
  </si>
  <si>
    <t>L.T. DISTRIBUTION KIOSK FOR 100KVA</t>
  </si>
  <si>
    <t>L.T. DISTRIBUTION KIOSK FOR 63KVA</t>
  </si>
  <si>
    <t>L.T. DISTRIBUTION KIOSK FOR 25KVA</t>
  </si>
  <si>
    <t>L.T. DISTRIBUTION KIOSK FOR 315KVA</t>
  </si>
  <si>
    <t>G.I. TURN BUCKLE 18X5/8"</t>
  </si>
  <si>
    <t>G.I. TURN BUCKLE 18X3/4"</t>
  </si>
  <si>
    <t>PG. CLAMP FOR 100 SQ. M.M. CONDR.</t>
  </si>
  <si>
    <t>PG. CLAMP FOR 50/30 SQ. M.M. CONDR.</t>
  </si>
  <si>
    <t>SHACKLE STRAP BIG 185X30X3</t>
  </si>
  <si>
    <t>SHACKLE INSULATOR (2"X21/2")</t>
  </si>
  <si>
    <t>STRAIGHT THROUGH TYPE XLPE CABLE JOINTING KIT,3X400 sq.mm.</t>
  </si>
  <si>
    <t>INDOOR TYPE XLPE CABLE JOINTING KIT,3X400 sq.mm. 33KV</t>
  </si>
  <si>
    <t xml:space="preserve">Suspension Clamp Suitable for 35sq.mm. Messenger Conductor </t>
  </si>
  <si>
    <t>36 KV VCB:750 MVA 1000/1250 Amps:O/D-Type,30V DC</t>
  </si>
  <si>
    <t>Susp clamp HT ABCD 70-150SQMM</t>
  </si>
  <si>
    <t>Dead End clamp-LT ABC(3x70+1x16+1x50SMM)</t>
  </si>
  <si>
    <t>Fixing of 33KV CR type isolator w/o E.SW</t>
  </si>
  <si>
    <t xml:space="preserve">TPGO Isl fixing </t>
  </si>
  <si>
    <t>Supv. Cost@10% on C (Mat+Lab)</t>
  </si>
  <si>
    <t>Re-sagg of ACSR 100 SQmm by 3 wire(1.8/2.4/3) (1876.00/wire)</t>
  </si>
  <si>
    <t>Fixing new pole V bracket+ Top adoptor in 33 KV</t>
  </si>
  <si>
    <t>AL BINDING WIRE 5MM/6SWG</t>
  </si>
  <si>
    <t>Fixing of LA Set &amp; Fabrication of structure 33KV</t>
  </si>
  <si>
    <t>Erection of Bimetallic crimping Type water proof LUG for 16/50/35/70 Sqmm power Cable(1set=4nos)</t>
  </si>
  <si>
    <t>IPC for 35-50 sq mm both main &amp; service Cable for Connecting Distribution Box</t>
  </si>
  <si>
    <t xml:space="preserve">IPC for connecting ABC to ABC TEE joint </t>
  </si>
  <si>
    <t xml:space="preserve">CABLE (HT AERIAL BUNCHED 11 KV ) 3CX95+1CX70 sq mm </t>
  </si>
  <si>
    <t>RETURNABLE MATERIALS</t>
  </si>
  <si>
    <t>DAMAGE</t>
  </si>
  <si>
    <t>NO</t>
  </si>
  <si>
    <t>TOTAL</t>
  </si>
  <si>
    <t>I. RETURNABLE MATERIALS 20% Value</t>
  </si>
  <si>
    <t>RS.</t>
  </si>
  <si>
    <t>Scheme Cost (H-I)</t>
  </si>
  <si>
    <t>Rs.</t>
  </si>
  <si>
    <t>Caution Board 11KV</t>
  </si>
  <si>
    <t>Caution Board 33KV</t>
  </si>
  <si>
    <t>G.I. Barbed Wire</t>
  </si>
  <si>
    <t xml:space="preserve">                                                                          </t>
  </si>
  <si>
    <t xml:space="preserve">                         </t>
  </si>
  <si>
    <t>Erection of 160 KVA DTR</t>
  </si>
  <si>
    <t>WIDE FLANGE BEAM 13M LONG WBP 160x160x30.44 kg/m with grade E300</t>
  </si>
  <si>
    <t>LABOUR  SCHEDULE                    UNDER DURGAPUR DIVISION</t>
  </si>
  <si>
    <t>MATERIAL SCHEDULE                   UNDER DURGAPUR DIVISION</t>
  </si>
  <si>
    <t>INDOOR TYPE XLPE CABLE JOINTING KIT,11 KV 3X185 sq. mm.</t>
  </si>
  <si>
    <t>INDOOR TYPE XLPE CABLE JOINTING KIT,1X1000 sq.mm. 33KV</t>
  </si>
  <si>
    <t>OUTDOOR TYPE XLPE CABLE JOINTING KIT,1X1000 sq.mm. 33 KV</t>
  </si>
  <si>
    <t>STRAIGHT THROUGH TYPE XLPE CABLE JOINTING KIT,1X1000 sq.mm.</t>
  </si>
  <si>
    <t>DTR 630KV 11/0.415 KV (O/D) Oil cool Type</t>
  </si>
  <si>
    <t>DTR</t>
  </si>
  <si>
    <t>1POLE HIGHT</t>
  </si>
  <si>
    <t>DP HIGHT</t>
  </si>
  <si>
    <t>SPEC</t>
  </si>
  <si>
    <t>CONV</t>
  </si>
  <si>
    <t>ANGEL</t>
  </si>
  <si>
    <t>CHANNEL</t>
  </si>
  <si>
    <t>FLAT</t>
  </si>
  <si>
    <t>75X40</t>
  </si>
  <si>
    <t>100X50</t>
  </si>
  <si>
    <t>50X50</t>
  </si>
  <si>
    <t>65X65</t>
  </si>
  <si>
    <t>50X6</t>
  </si>
  <si>
    <t xml:space="preserve">my each property is associated with a material code.. like in span acsr 50, 30 both has a material code, for abc all has mat code.. for earth, for stay.. for pcc 8mtr, for pcc9, for stp 9, stp 11 for dtr 10 etc.. but currently thats not mapped i guess.. also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</si>
</sst>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quot;Rs.&quot;\ * #,##0.00_ ;_ &quot;Rs.&quot;\ * \-#,##0.00_ ;_ &quot;Rs.&quot;\ * &quot;-&quot;??_ ;_ @_ "/>
    <numFmt numFmtId="165" formatCode="0.000"/>
  </numFmts>
  <fonts count="17" x14ac:knownFonts="1">
    <font>
      <sz val="11"/>
      <color theme="1"/>
      <name val="Calibri"/>
      <family val="2"/>
      <scheme val="minor"/>
    </font>
    <font>
      <sz val="10"/>
      <name val="Arial"/>
      <family val="2"/>
    </font>
    <font>
      <b/>
      <sz val="11"/>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z val="9"/>
      <color theme="1"/>
      <name val="Bookman Old Style"/>
      <family val="1"/>
    </font>
    <font>
      <b/>
      <sz val="16"/>
      <name val="Calibri"/>
      <family val="2"/>
      <scheme val="minor"/>
    </font>
    <font>
      <sz val="16"/>
      <color theme="1"/>
      <name val="Calibri"/>
      <family val="2"/>
      <scheme val="minor"/>
    </font>
    <font>
      <b/>
      <sz val="14"/>
      <color theme="1"/>
      <name val="Calibri"/>
      <family val="2"/>
      <scheme val="minor"/>
    </font>
    <font>
      <sz val="10"/>
      <color rgb="FFFF0000"/>
      <name val="Calibri"/>
      <family val="2"/>
      <scheme val="minor"/>
    </font>
    <font>
      <sz val="12"/>
      <color theme="1"/>
      <name val="Calibri"/>
      <family val="2"/>
      <scheme val="minor"/>
    </font>
    <font>
      <b/>
      <sz val="12"/>
      <color theme="1"/>
      <name val="Calibri"/>
      <family val="2"/>
      <scheme val="minor"/>
    </font>
    <font>
      <b/>
      <sz val="14"/>
      <name val="Calibri"/>
      <family val="2"/>
      <scheme val="minor"/>
    </font>
    <font>
      <sz val="12"/>
      <name val="Calibri"/>
      <family val="2"/>
      <scheme val="minor"/>
    </font>
    <font>
      <sz val="12"/>
      <color theme="1"/>
      <name val="Bookman Old Style"/>
      <family val="1"/>
    </font>
    <font>
      <sz val="10"/>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3">
    <xf numFmtId="0" fontId="0" fillId="0" borderId="0"/>
    <xf numFmtId="0" fontId="1" fillId="0" borderId="0"/>
    <xf numFmtId="0" fontId="1" fillId="0" borderId="0"/>
  </cellStyleXfs>
  <cellXfs count="66">
    <xf numFmtId="0" fontId="0" fillId="0" borderId="0" xfId="0"/>
    <xf numFmtId="0" fontId="3" fillId="2" borderId="1" xfId="0" applyFont="1" applyFill="1" applyBorder="1" applyAlignment="1">
      <alignment horizontal="center" vertical="center"/>
    </xf>
    <xf numFmtId="0" fontId="4" fillId="2" borderId="0" xfId="0" applyFont="1" applyFill="1"/>
    <xf numFmtId="0" fontId="4" fillId="2" borderId="1" xfId="0" applyFont="1" applyFill="1" applyBorder="1" applyAlignment="1">
      <alignment horizontal="center" vertical="center"/>
    </xf>
    <xf numFmtId="0" fontId="4" fillId="2" borderId="1" xfId="0" applyFont="1" applyFill="1" applyBorder="1"/>
    <xf numFmtId="4" fontId="4" fillId="2" borderId="1" xfId="0" applyNumberFormat="1" applyFont="1" applyFill="1" applyBorder="1"/>
    <xf numFmtId="0" fontId="3" fillId="2" borderId="1" xfId="0" applyFont="1" applyFill="1" applyBorder="1" applyAlignment="1">
      <alignment horizontal="center" vertical="center" wrapText="1"/>
    </xf>
    <xf numFmtId="0" fontId="5" fillId="2" borderId="0" xfId="0" applyFont="1" applyFill="1"/>
    <xf numFmtId="0" fontId="0" fillId="0" borderId="0" xfId="0" applyAlignment="1">
      <alignment horizontal="center" vertical="center"/>
    </xf>
    <xf numFmtId="0" fontId="6" fillId="2" borderId="1" xfId="0" applyFont="1" applyFill="1" applyBorder="1" applyAlignment="1">
      <alignment horizontal="left" vertical="center" wrapText="1"/>
    </xf>
    <xf numFmtId="2" fontId="6" fillId="2" borderId="1" xfId="0" applyNumberFormat="1" applyFont="1" applyFill="1" applyBorder="1" applyAlignment="1">
      <alignment horizontal="center" vertical="center" wrapText="1"/>
    </xf>
    <xf numFmtId="0" fontId="0" fillId="0" borderId="1" xfId="0" applyBorder="1" applyAlignment="1">
      <alignment horizontal="center" vertical="center"/>
    </xf>
    <xf numFmtId="0" fontId="7" fillId="2" borderId="1" xfId="0" applyFont="1" applyFill="1" applyBorder="1" applyAlignment="1">
      <alignment horizontal="center" vertical="center"/>
    </xf>
    <xf numFmtId="0" fontId="8" fillId="0" borderId="0" xfId="0" applyFont="1"/>
    <xf numFmtId="0" fontId="2" fillId="0" borderId="0" xfId="0" applyFont="1" applyAlignment="1">
      <alignment horizontal="center" vertical="center"/>
    </xf>
    <xf numFmtId="0" fontId="2" fillId="0" borderId="0" xfId="0" applyFont="1"/>
    <xf numFmtId="2" fontId="3" fillId="2" borderId="1" xfId="0" applyNumberFormat="1" applyFont="1" applyFill="1" applyBorder="1" applyAlignment="1">
      <alignment horizontal="right" vertical="center"/>
    </xf>
    <xf numFmtId="0" fontId="0" fillId="0" borderId="0" xfId="0" applyAlignment="1">
      <alignment horizontal="right"/>
    </xf>
    <xf numFmtId="0" fontId="3" fillId="3" borderId="1" xfId="0" applyFont="1" applyFill="1" applyBorder="1" applyAlignment="1">
      <alignment horizontal="center" vertical="center" wrapText="1"/>
    </xf>
    <xf numFmtId="2" fontId="6" fillId="3" borderId="1" xfId="0" applyNumberFormat="1" applyFont="1" applyFill="1" applyBorder="1" applyAlignment="1">
      <alignment horizontal="center" vertical="center" wrapText="1"/>
    </xf>
    <xf numFmtId="0" fontId="4" fillId="3" borderId="1" xfId="0" applyFont="1" applyFill="1" applyBorder="1"/>
    <xf numFmtId="0" fontId="4" fillId="0" borderId="1" xfId="0" applyFont="1" applyBorder="1"/>
    <xf numFmtId="4" fontId="4" fillId="3" borderId="1" xfId="0" applyNumberFormat="1" applyFont="1" applyFill="1" applyBorder="1"/>
    <xf numFmtId="0" fontId="4" fillId="3" borderId="0" xfId="0" applyFont="1" applyFill="1"/>
    <xf numFmtId="4" fontId="10" fillId="3" borderId="1" xfId="0" applyNumberFormat="1" applyFont="1" applyFill="1" applyBorder="1"/>
    <xf numFmtId="4" fontId="4" fillId="0" borderId="1" xfId="0" applyNumberFormat="1" applyFont="1" applyBorder="1"/>
    <xf numFmtId="2" fontId="4" fillId="0" borderId="1" xfId="0" applyNumberFormat="1" applyFont="1" applyBorder="1"/>
    <xf numFmtId="0" fontId="4" fillId="0" borderId="0" xfId="0" applyFont="1"/>
    <xf numFmtId="0" fontId="11" fillId="2" borderId="1" xfId="0" applyFont="1" applyFill="1" applyBorder="1"/>
    <xf numFmtId="0" fontId="12" fillId="2" borderId="1" xfId="0" applyFont="1" applyFill="1" applyBorder="1" applyAlignment="1">
      <alignment horizontal="center" vertical="center"/>
    </xf>
    <xf numFmtId="164" fontId="12" fillId="2" borderId="1" xfId="0" applyNumberFormat="1" applyFont="1" applyFill="1" applyBorder="1" applyAlignment="1">
      <alignment horizontal="center" vertical="top" wrapText="1"/>
    </xf>
    <xf numFmtId="0" fontId="11" fillId="0" borderId="1" xfId="0" applyFont="1" applyBorder="1"/>
    <xf numFmtId="0" fontId="13" fillId="2" borderId="1" xfId="0" applyFont="1" applyFill="1" applyBorder="1" applyAlignment="1">
      <alignment horizontal="center" vertical="center"/>
    </xf>
    <xf numFmtId="0" fontId="13" fillId="2" borderId="1" xfId="0" applyFont="1" applyFill="1" applyBorder="1" applyAlignment="1">
      <alignment horizontal="right" vertical="center"/>
    </xf>
    <xf numFmtId="2" fontId="4" fillId="2" borderId="0" xfId="0" applyNumberFormat="1" applyFont="1" applyFill="1"/>
    <xf numFmtId="0" fontId="14" fillId="2" borderId="1" xfId="0" applyFont="1" applyFill="1" applyBorder="1" applyAlignment="1">
      <alignment horizontal="center" vertical="center" wrapText="1"/>
    </xf>
    <xf numFmtId="0" fontId="14" fillId="2" borderId="1" xfId="0" applyFont="1" applyFill="1" applyBorder="1" applyAlignment="1">
      <alignment horizontal="center" vertical="center"/>
    </xf>
    <xf numFmtId="2" fontId="14" fillId="2" borderId="1" xfId="0" applyNumberFormat="1" applyFont="1" applyFill="1" applyBorder="1" applyAlignment="1">
      <alignment horizontal="right" vertical="center"/>
    </xf>
    <xf numFmtId="0" fontId="15" fillId="2" borderId="1" xfId="0" applyFont="1" applyFill="1" applyBorder="1" applyAlignment="1">
      <alignment horizontal="left" vertical="center" wrapText="1"/>
    </xf>
    <xf numFmtId="0" fontId="12" fillId="0" borderId="0" xfId="0" applyFont="1" applyAlignment="1">
      <alignment horizontal="center" vertical="center"/>
    </xf>
    <xf numFmtId="0" fontId="12" fillId="0" borderId="0" xfId="0" applyFont="1"/>
    <xf numFmtId="2" fontId="12" fillId="0" borderId="1" xfId="0" applyNumberFormat="1" applyFont="1" applyBorder="1" applyAlignment="1">
      <alignment horizontal="right"/>
    </xf>
    <xf numFmtId="2" fontId="0" fillId="2" borderId="1" xfId="0" applyNumberFormat="1" applyFill="1" applyBorder="1" applyAlignment="1">
      <alignment horizontal="center" vertical="center" wrapText="1"/>
    </xf>
    <xf numFmtId="2" fontId="5" fillId="0" borderId="1" xfId="0" applyNumberFormat="1" applyFont="1" applyBorder="1"/>
    <xf numFmtId="165" fontId="3" fillId="2" borderId="1" xfId="0" applyNumberFormat="1" applyFont="1" applyFill="1" applyBorder="1" applyAlignment="1">
      <alignment horizontal="center" vertical="center"/>
    </xf>
    <xf numFmtId="2" fontId="4" fillId="2" borderId="1" xfId="0" applyNumberFormat="1" applyFont="1" applyFill="1" applyBorder="1"/>
    <xf numFmtId="2" fontId="5" fillId="2" borderId="0" xfId="0" applyNumberFormat="1" applyFont="1" applyFill="1"/>
    <xf numFmtId="4" fontId="4" fillId="2" borderId="1" xfId="0" applyNumberFormat="1" applyFont="1" applyFill="1" applyBorder="1" applyAlignment="1">
      <alignment horizontal="right"/>
    </xf>
    <xf numFmtId="2" fontId="4" fillId="3" borderId="1" xfId="0" applyNumberFormat="1" applyFont="1" applyFill="1" applyBorder="1"/>
    <xf numFmtId="2" fontId="4" fillId="2" borderId="1" xfId="0" applyNumberFormat="1" applyFont="1" applyFill="1" applyBorder="1" applyAlignment="1">
      <alignment horizontal="right"/>
    </xf>
    <xf numFmtId="0" fontId="4" fillId="2" borderId="1" xfId="0" applyFont="1" applyFill="1" applyBorder="1" applyAlignment="1">
      <alignment horizontal="right"/>
    </xf>
    <xf numFmtId="4" fontId="16" fillId="0" borderId="1" xfId="0" applyNumberFormat="1" applyFont="1" applyBorder="1" applyAlignment="1">
      <alignment horizontal="right"/>
    </xf>
    <xf numFmtId="4" fontId="4" fillId="0" borderId="1" xfId="0" applyNumberFormat="1" applyFont="1" applyBorder="1" applyAlignment="1">
      <alignment horizontal="right"/>
    </xf>
    <xf numFmtId="49" fontId="12" fillId="2" borderId="1" xfId="0" applyNumberFormat="1" applyFont="1" applyFill="1" applyBorder="1" applyAlignment="1">
      <alignment horizontal="center" vertical="top"/>
    </xf>
    <xf numFmtId="0" fontId="12" fillId="2" borderId="1" xfId="0" applyFont="1" applyFill="1" applyBorder="1" applyAlignment="1">
      <alignment horizontal="center" vertical="top"/>
    </xf>
    <xf numFmtId="0" fontId="4" fillId="2" borderId="1" xfId="0" applyFont="1" applyFill="1" applyBorder="1" applyAlignment="1">
      <alignment horizontal="center"/>
    </xf>
    <xf numFmtId="49" fontId="4" fillId="2" borderId="1" xfId="0" applyNumberFormat="1" applyFont="1" applyFill="1" applyBorder="1" applyAlignment="1">
      <alignment horizontal="center"/>
    </xf>
    <xf numFmtId="0" fontId="4" fillId="2" borderId="1" xfId="0" applyFont="1" applyFill="1" applyBorder="1" applyAlignment="1">
      <alignment wrapText="1"/>
    </xf>
    <xf numFmtId="0" fontId="4" fillId="2" borderId="1" xfId="0" applyFont="1" applyFill="1" applyBorder="1" applyAlignment="1">
      <alignment vertical="top"/>
    </xf>
    <xf numFmtId="49" fontId="4" fillId="2" borderId="1" xfId="0" applyNumberFormat="1" applyFont="1" applyFill="1" applyBorder="1" applyAlignment="1">
      <alignment horizontal="center" vertical="center"/>
    </xf>
    <xf numFmtId="0" fontId="5" fillId="2" borderId="1" xfId="0" applyFont="1" applyFill="1" applyBorder="1" applyAlignment="1">
      <alignment horizontal="center" vertical="center"/>
    </xf>
    <xf numFmtId="0" fontId="4" fillId="2" borderId="1" xfId="0" quotePrefix="1" applyFont="1" applyFill="1" applyBorder="1"/>
    <xf numFmtId="0" fontId="4" fillId="2" borderId="1" xfId="0" applyFont="1" applyFill="1" applyBorder="1" applyAlignment="1">
      <alignment horizontal="left"/>
    </xf>
    <xf numFmtId="0" fontId="5" fillId="2" borderId="0" xfId="0" applyFont="1" applyFill="1" applyAlignment="1">
      <alignment horizontal="right"/>
    </xf>
    <xf numFmtId="0" fontId="9" fillId="2" borderId="2" xfId="0" applyFont="1" applyFill="1" applyBorder="1" applyAlignment="1">
      <alignment horizontal="center" vertical="center" wrapText="1"/>
    </xf>
    <xf numFmtId="0" fontId="9" fillId="0" borderId="2" xfId="0" applyFont="1" applyBorder="1" applyAlignment="1">
      <alignment horizontal="center" vertical="center" wrapText="1"/>
    </xf>
  </cellXfs>
  <cellStyles count="3">
    <cellStyle name="Normal" xfId="0" builtinId="0"/>
    <cellStyle name="Normal 2" xfId="1" xr:uid="{00000000-0005-0000-0000-000001000000}"/>
    <cellStyle name="Normal 8" xfId="2" xr:uid="{00000000-0005-0000-0000-000002000000}"/>
  </cellStyles>
  <dxfs count="1">
    <dxf>
      <font>
        <condense val="0"/>
        <extend val="0"/>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H358"/>
  <sheetViews>
    <sheetView tabSelected="1" workbookViewId="0">
      <pane xSplit="8" ySplit="2" topLeftCell="I280" activePane="bottomRight" state="frozen"/>
      <selection activeCell="F86" sqref="F86"/>
      <selection pane="topRight" activeCell="F86" sqref="F86"/>
      <selection pane="bottomLeft" activeCell="F86" sqref="F86"/>
      <selection pane="bottomRight" activeCell="D358" sqref="D358"/>
    </sheetView>
  </sheetViews>
  <sheetFormatPr defaultColWidth="9.109375" defaultRowHeight="13.8" x14ac:dyDescent="0.3"/>
  <cols>
    <col min="1" max="1" width="6.109375" style="2" bestFit="1" customWidth="1"/>
    <col min="2" max="2" width="12.109375" style="2" customWidth="1"/>
    <col min="3" max="3" width="12" style="2" bestFit="1" customWidth="1"/>
    <col min="4" max="4" width="59.33203125" style="2" customWidth="1"/>
    <col min="5" max="5" width="5.6640625" style="2" bestFit="1" customWidth="1"/>
    <col min="6" max="6" width="15.88671875" style="2" customWidth="1"/>
    <col min="7" max="7" width="9.88671875" style="2" customWidth="1"/>
    <col min="8" max="8" width="16.109375" style="27" customWidth="1"/>
    <col min="9" max="16384" width="9.109375" style="2"/>
  </cols>
  <sheetData>
    <row r="1" spans="1:8" s="7" customFormat="1" ht="34.5" customHeight="1" x14ac:dyDescent="0.3">
      <c r="A1" s="64" t="s">
        <v>758</v>
      </c>
      <c r="B1" s="64"/>
      <c r="C1" s="64"/>
      <c r="D1" s="64"/>
      <c r="E1" s="64"/>
      <c r="F1" s="64"/>
      <c r="G1" s="64"/>
      <c r="H1" s="64"/>
    </row>
    <row r="2" spans="1:8" ht="15.6" x14ac:dyDescent="0.3">
      <c r="A2" s="29" t="s">
        <v>0</v>
      </c>
      <c r="B2" s="28" t="s">
        <v>323</v>
      </c>
      <c r="C2" s="53" t="s">
        <v>324</v>
      </c>
      <c r="D2" s="29"/>
      <c r="E2" s="54" t="s">
        <v>325</v>
      </c>
      <c r="F2" s="30" t="s">
        <v>128</v>
      </c>
      <c r="G2" s="28" t="s">
        <v>753</v>
      </c>
      <c r="H2" s="31"/>
    </row>
    <row r="3" spans="1:8" x14ac:dyDescent="0.3">
      <c r="A3" s="3">
        <v>1</v>
      </c>
      <c r="B3" s="4" t="s">
        <v>326</v>
      </c>
      <c r="C3" s="55">
        <v>110030141</v>
      </c>
      <c r="D3" s="4" t="s">
        <v>327</v>
      </c>
      <c r="E3" s="55" t="s">
        <v>9</v>
      </c>
      <c r="F3" s="5">
        <v>5363.44</v>
      </c>
      <c r="G3" s="4">
        <v>0</v>
      </c>
      <c r="H3" s="26">
        <f>ROUND(F3*G3,2)</f>
        <v>0</v>
      </c>
    </row>
    <row r="4" spans="1:8" x14ac:dyDescent="0.3">
      <c r="A4" s="3">
        <v>2</v>
      </c>
      <c r="B4" s="4" t="s">
        <v>326</v>
      </c>
      <c r="C4" s="55">
        <v>110030241</v>
      </c>
      <c r="D4" s="4" t="s">
        <v>328</v>
      </c>
      <c r="E4" s="55" t="s">
        <v>9</v>
      </c>
      <c r="F4" s="5">
        <v>10198.280000000001</v>
      </c>
      <c r="G4" s="4">
        <v>0</v>
      </c>
      <c r="H4" s="26">
        <f t="shared" ref="H4:H70" si="0">ROUND(F4*G4,2)</f>
        <v>0</v>
      </c>
    </row>
    <row r="5" spans="1:8" x14ac:dyDescent="0.3">
      <c r="A5" s="3">
        <v>3</v>
      </c>
      <c r="B5" s="4" t="s">
        <v>326</v>
      </c>
      <c r="C5" s="55">
        <v>110010341</v>
      </c>
      <c r="D5" s="4" t="s">
        <v>329</v>
      </c>
      <c r="E5" s="55" t="s">
        <v>9</v>
      </c>
      <c r="F5" s="5">
        <v>11550.45</v>
      </c>
      <c r="G5" s="4">
        <v>0</v>
      </c>
      <c r="H5" s="26">
        <f t="shared" si="0"/>
        <v>0</v>
      </c>
    </row>
    <row r="6" spans="1:8" x14ac:dyDescent="0.3">
      <c r="A6" s="3">
        <v>4</v>
      </c>
      <c r="B6" s="4" t="s">
        <v>326</v>
      </c>
      <c r="C6" s="55">
        <v>110010741</v>
      </c>
      <c r="D6" s="4" t="s">
        <v>330</v>
      </c>
      <c r="E6" s="55" t="s">
        <v>9</v>
      </c>
      <c r="F6" s="5">
        <v>17887.87</v>
      </c>
      <c r="G6" s="4">
        <v>0</v>
      </c>
      <c r="H6" s="26">
        <f t="shared" si="0"/>
        <v>0</v>
      </c>
    </row>
    <row r="7" spans="1:8" x14ac:dyDescent="0.3">
      <c r="A7" s="3">
        <v>5</v>
      </c>
      <c r="B7" s="4" t="s">
        <v>326</v>
      </c>
      <c r="C7" s="55">
        <v>110020511</v>
      </c>
      <c r="D7" s="4" t="s">
        <v>331</v>
      </c>
      <c r="E7" s="55" t="s">
        <v>7</v>
      </c>
      <c r="F7" s="22">
        <v>76516.789999999994</v>
      </c>
      <c r="G7" s="20">
        <v>0</v>
      </c>
      <c r="H7" s="48">
        <f t="shared" si="0"/>
        <v>0</v>
      </c>
    </row>
    <row r="8" spans="1:8" x14ac:dyDescent="0.3">
      <c r="A8" s="3">
        <v>6</v>
      </c>
      <c r="B8" s="4" t="s">
        <v>326</v>
      </c>
      <c r="C8" s="55">
        <v>110020711</v>
      </c>
      <c r="D8" s="4" t="s">
        <v>332</v>
      </c>
      <c r="E8" s="55" t="s">
        <v>7</v>
      </c>
      <c r="F8" s="5">
        <v>93806.05</v>
      </c>
      <c r="G8" s="4">
        <v>0</v>
      </c>
      <c r="H8" s="26">
        <f t="shared" si="0"/>
        <v>0</v>
      </c>
    </row>
    <row r="9" spans="1:8" x14ac:dyDescent="0.3">
      <c r="A9" s="3">
        <v>7</v>
      </c>
      <c r="B9" s="4" t="s">
        <v>326</v>
      </c>
      <c r="C9" s="55">
        <v>110050911</v>
      </c>
      <c r="D9" s="4" t="s">
        <v>333</v>
      </c>
      <c r="E9" s="55" t="s">
        <v>7</v>
      </c>
      <c r="F9" s="22">
        <v>56788.56</v>
      </c>
      <c r="G9" s="20">
        <v>0</v>
      </c>
      <c r="H9" s="48">
        <f t="shared" si="0"/>
        <v>0</v>
      </c>
    </row>
    <row r="10" spans="1:8" ht="13.5" customHeight="1" x14ac:dyDescent="0.3">
      <c r="A10" s="3">
        <v>8</v>
      </c>
      <c r="B10" s="4" t="s">
        <v>326</v>
      </c>
      <c r="C10" s="55">
        <v>110051011</v>
      </c>
      <c r="D10" s="4" t="s">
        <v>334</v>
      </c>
      <c r="E10" s="55" t="s">
        <v>7</v>
      </c>
      <c r="F10" s="22">
        <v>56788.56</v>
      </c>
      <c r="G10" s="20">
        <v>0</v>
      </c>
      <c r="H10" s="48">
        <f t="shared" si="0"/>
        <v>0</v>
      </c>
    </row>
    <row r="11" spans="1:8" ht="14.25" customHeight="1" x14ac:dyDescent="0.3">
      <c r="A11" s="3">
        <v>9</v>
      </c>
      <c r="B11" s="4" t="s">
        <v>326</v>
      </c>
      <c r="C11" s="55">
        <v>110051111</v>
      </c>
      <c r="D11" s="4" t="s">
        <v>697</v>
      </c>
      <c r="E11" s="55" t="s">
        <v>7</v>
      </c>
      <c r="F11" s="22">
        <v>67112.639999999999</v>
      </c>
      <c r="G11" s="20">
        <v>0</v>
      </c>
      <c r="H11" s="48">
        <f t="shared" si="0"/>
        <v>0</v>
      </c>
    </row>
    <row r="12" spans="1:8" ht="14.25" customHeight="1" x14ac:dyDescent="0.3">
      <c r="A12" s="3">
        <v>10</v>
      </c>
      <c r="B12" s="4" t="s">
        <v>326</v>
      </c>
      <c r="C12" s="55">
        <v>110051211</v>
      </c>
      <c r="D12" s="4" t="s">
        <v>756</v>
      </c>
      <c r="E12" s="55" t="s">
        <v>7</v>
      </c>
      <c r="F12" s="47">
        <v>65952.78</v>
      </c>
      <c r="G12" s="4">
        <v>0</v>
      </c>
      <c r="H12" s="26">
        <f t="shared" si="0"/>
        <v>0</v>
      </c>
    </row>
    <row r="13" spans="1:8" ht="13.5" customHeight="1" x14ac:dyDescent="0.3">
      <c r="A13" s="3">
        <v>11</v>
      </c>
      <c r="B13" s="4" t="s">
        <v>326</v>
      </c>
      <c r="C13" s="55">
        <v>102010911</v>
      </c>
      <c r="D13" s="4" t="s">
        <v>335</v>
      </c>
      <c r="E13" s="55" t="s">
        <v>7</v>
      </c>
      <c r="F13" s="47">
        <v>109813.95</v>
      </c>
      <c r="G13" s="4">
        <v>0</v>
      </c>
      <c r="H13" s="26">
        <f>ROUND(F13*G13,2)</f>
        <v>0</v>
      </c>
    </row>
    <row r="14" spans="1:8" x14ac:dyDescent="0.3">
      <c r="A14" s="3">
        <v>12</v>
      </c>
      <c r="B14" s="4" t="s">
        <v>326</v>
      </c>
      <c r="C14" s="55">
        <v>102010611</v>
      </c>
      <c r="D14" s="4" t="s">
        <v>336</v>
      </c>
      <c r="E14" s="55" t="s">
        <v>7</v>
      </c>
      <c r="F14" s="47">
        <v>110043.09</v>
      </c>
      <c r="G14" s="4">
        <v>0</v>
      </c>
      <c r="H14" s="26">
        <f t="shared" si="0"/>
        <v>0</v>
      </c>
    </row>
    <row r="15" spans="1:8" ht="11.25" customHeight="1" x14ac:dyDescent="0.3">
      <c r="A15" s="3">
        <v>13</v>
      </c>
      <c r="B15" s="4" t="s">
        <v>326</v>
      </c>
      <c r="C15" s="55">
        <v>101011311</v>
      </c>
      <c r="D15" s="4" t="s">
        <v>337</v>
      </c>
      <c r="E15" s="55" t="s">
        <v>7</v>
      </c>
      <c r="F15" s="47">
        <v>108667.24</v>
      </c>
      <c r="G15" s="4">
        <v>0</v>
      </c>
      <c r="H15" s="26">
        <f t="shared" si="0"/>
        <v>0</v>
      </c>
    </row>
    <row r="16" spans="1:8" x14ac:dyDescent="0.3">
      <c r="A16" s="3">
        <v>14</v>
      </c>
      <c r="B16" s="4" t="s">
        <v>326</v>
      </c>
      <c r="C16" s="55">
        <v>101011011</v>
      </c>
      <c r="D16" s="4" t="s">
        <v>338</v>
      </c>
      <c r="E16" s="55" t="s">
        <v>7</v>
      </c>
      <c r="F16" s="47">
        <v>109603.22</v>
      </c>
      <c r="G16" s="4">
        <v>0</v>
      </c>
      <c r="H16" s="26">
        <f t="shared" si="0"/>
        <v>0</v>
      </c>
    </row>
    <row r="17" spans="1:8" x14ac:dyDescent="0.3">
      <c r="A17" s="3">
        <v>15</v>
      </c>
      <c r="B17" s="4" t="s">
        <v>326</v>
      </c>
      <c r="C17" s="55">
        <v>103011211</v>
      </c>
      <c r="D17" s="4" t="s">
        <v>339</v>
      </c>
      <c r="E17" s="55" t="s">
        <v>7</v>
      </c>
      <c r="F17" s="47">
        <v>117623.3</v>
      </c>
      <c r="G17" s="4">
        <v>0</v>
      </c>
      <c r="H17" s="26">
        <f t="shared" si="0"/>
        <v>0</v>
      </c>
    </row>
    <row r="18" spans="1:8" ht="13.5" customHeight="1" x14ac:dyDescent="0.3">
      <c r="A18" s="3">
        <v>16</v>
      </c>
      <c r="B18" s="4" t="s">
        <v>326</v>
      </c>
      <c r="C18" s="55">
        <v>103011511</v>
      </c>
      <c r="D18" s="4" t="s">
        <v>340</v>
      </c>
      <c r="E18" s="55" t="s">
        <v>7</v>
      </c>
      <c r="F18" s="47">
        <v>117493.74</v>
      </c>
      <c r="G18" s="4">
        <v>0</v>
      </c>
      <c r="H18" s="26">
        <f t="shared" si="0"/>
        <v>0</v>
      </c>
    </row>
    <row r="19" spans="1:8" x14ac:dyDescent="0.3">
      <c r="A19" s="3">
        <v>17</v>
      </c>
      <c r="B19" s="4" t="s">
        <v>326</v>
      </c>
      <c r="C19" s="55">
        <v>103011611</v>
      </c>
      <c r="D19" s="4" t="s">
        <v>341</v>
      </c>
      <c r="E19" s="55" t="s">
        <v>7</v>
      </c>
      <c r="F19" s="47">
        <v>114149.39</v>
      </c>
      <c r="G19" s="4">
        <v>0</v>
      </c>
      <c r="H19" s="26">
        <f t="shared" si="0"/>
        <v>0</v>
      </c>
    </row>
    <row r="20" spans="1:8" x14ac:dyDescent="0.3">
      <c r="A20" s="3">
        <v>18</v>
      </c>
      <c r="B20" s="4" t="s">
        <v>326</v>
      </c>
      <c r="C20" s="55">
        <v>103011911</v>
      </c>
      <c r="D20" s="4" t="s">
        <v>342</v>
      </c>
      <c r="E20" s="55" t="s">
        <v>7</v>
      </c>
      <c r="F20" s="47">
        <v>114255.67999999999</v>
      </c>
      <c r="G20" s="4">
        <v>0</v>
      </c>
      <c r="H20" s="26">
        <f t="shared" si="0"/>
        <v>0</v>
      </c>
    </row>
    <row r="21" spans="1:8" x14ac:dyDescent="0.3">
      <c r="A21" s="3">
        <v>19</v>
      </c>
      <c r="B21" s="4" t="s">
        <v>326</v>
      </c>
      <c r="C21" s="55">
        <v>103012311</v>
      </c>
      <c r="D21" s="4" t="s">
        <v>698</v>
      </c>
      <c r="E21" s="55" t="s">
        <v>7</v>
      </c>
      <c r="F21" s="47">
        <v>114336.31</v>
      </c>
      <c r="G21" s="4">
        <v>0</v>
      </c>
      <c r="H21" s="26">
        <f t="shared" si="0"/>
        <v>0</v>
      </c>
    </row>
    <row r="22" spans="1:8" x14ac:dyDescent="0.3">
      <c r="A22" s="3">
        <v>20</v>
      </c>
      <c r="B22" s="4" t="s">
        <v>326</v>
      </c>
      <c r="C22" s="55">
        <v>504130432</v>
      </c>
      <c r="D22" s="4" t="s">
        <v>343</v>
      </c>
      <c r="E22" s="55" t="s">
        <v>369</v>
      </c>
      <c r="F22" s="47">
        <v>795.83</v>
      </c>
      <c r="G22" s="4">
        <v>0</v>
      </c>
      <c r="H22" s="26">
        <f t="shared" si="0"/>
        <v>0</v>
      </c>
    </row>
    <row r="23" spans="1:8" x14ac:dyDescent="0.3">
      <c r="A23" s="3">
        <v>21</v>
      </c>
      <c r="B23" s="4" t="s">
        <v>326</v>
      </c>
      <c r="C23" s="55">
        <v>504130332</v>
      </c>
      <c r="D23" s="4" t="s">
        <v>344</v>
      </c>
      <c r="E23" s="55" t="s">
        <v>9</v>
      </c>
      <c r="F23" s="47">
        <v>462.17</v>
      </c>
      <c r="G23" s="4">
        <v>0</v>
      </c>
      <c r="H23" s="26">
        <f>ROUND(F23*G23,2)</f>
        <v>0</v>
      </c>
    </row>
    <row r="24" spans="1:8" x14ac:dyDescent="0.3">
      <c r="A24" s="3">
        <v>22</v>
      </c>
      <c r="B24" s="4" t="s">
        <v>326</v>
      </c>
      <c r="C24" s="55">
        <v>504110541</v>
      </c>
      <c r="D24" s="4" t="s">
        <v>345</v>
      </c>
      <c r="E24" s="55" t="s">
        <v>9</v>
      </c>
      <c r="F24" s="47">
        <v>367.98</v>
      </c>
      <c r="G24" s="4">
        <v>0</v>
      </c>
      <c r="H24" s="26">
        <f t="shared" si="0"/>
        <v>0</v>
      </c>
    </row>
    <row r="25" spans="1:8" x14ac:dyDescent="0.3">
      <c r="A25" s="3">
        <v>23</v>
      </c>
      <c r="B25" s="4" t="s">
        <v>326</v>
      </c>
      <c r="C25" s="55">
        <v>503010411</v>
      </c>
      <c r="D25" s="4" t="s">
        <v>346</v>
      </c>
      <c r="E25" s="55" t="s">
        <v>7</v>
      </c>
      <c r="F25" s="22">
        <v>101756.15</v>
      </c>
      <c r="G25" s="20">
        <v>0</v>
      </c>
      <c r="H25" s="48">
        <f t="shared" si="0"/>
        <v>0</v>
      </c>
    </row>
    <row r="26" spans="1:8" x14ac:dyDescent="0.3">
      <c r="A26" s="3">
        <v>24</v>
      </c>
      <c r="B26" s="4" t="s">
        <v>326</v>
      </c>
      <c r="C26" s="55">
        <v>503010611</v>
      </c>
      <c r="D26" s="4" t="s">
        <v>347</v>
      </c>
      <c r="E26" s="55" t="s">
        <v>7</v>
      </c>
      <c r="F26" s="22">
        <v>101194.21</v>
      </c>
      <c r="G26" s="20">
        <v>0</v>
      </c>
      <c r="H26" s="48">
        <f t="shared" si="0"/>
        <v>0</v>
      </c>
    </row>
    <row r="27" spans="1:8" x14ac:dyDescent="0.3">
      <c r="A27" s="3">
        <v>25</v>
      </c>
      <c r="B27" s="4" t="s">
        <v>326</v>
      </c>
      <c r="C27" s="55">
        <v>503010711</v>
      </c>
      <c r="D27" s="4" t="s">
        <v>348</v>
      </c>
      <c r="E27" s="55" t="s">
        <v>7</v>
      </c>
      <c r="F27" s="47">
        <v>137360.98000000001</v>
      </c>
      <c r="G27" s="4">
        <v>0</v>
      </c>
      <c r="H27" s="26">
        <f t="shared" si="0"/>
        <v>0</v>
      </c>
    </row>
    <row r="28" spans="1:8" x14ac:dyDescent="0.3">
      <c r="A28" s="3">
        <v>26</v>
      </c>
      <c r="B28" s="4" t="s">
        <v>326</v>
      </c>
      <c r="C28" s="55">
        <v>503010811</v>
      </c>
      <c r="D28" s="4" t="s">
        <v>349</v>
      </c>
      <c r="E28" s="55" t="s">
        <v>7</v>
      </c>
      <c r="F28" s="47">
        <v>136865.98000000001</v>
      </c>
      <c r="G28" s="4">
        <v>0</v>
      </c>
      <c r="H28" s="26">
        <f t="shared" si="0"/>
        <v>0</v>
      </c>
    </row>
    <row r="29" spans="1:8" x14ac:dyDescent="0.3">
      <c r="A29" s="3">
        <v>27</v>
      </c>
      <c r="B29" s="4" t="s">
        <v>326</v>
      </c>
      <c r="C29" s="55">
        <v>503050911</v>
      </c>
      <c r="D29" s="4" t="s">
        <v>350</v>
      </c>
      <c r="E29" s="55" t="s">
        <v>7</v>
      </c>
      <c r="F29" s="47">
        <v>141692.18</v>
      </c>
      <c r="G29" s="4">
        <v>0</v>
      </c>
      <c r="H29" s="26">
        <f t="shared" si="0"/>
        <v>0</v>
      </c>
    </row>
    <row r="30" spans="1:8" x14ac:dyDescent="0.3">
      <c r="A30" s="3">
        <v>28</v>
      </c>
      <c r="B30" s="4" t="s">
        <v>326</v>
      </c>
      <c r="C30" s="55">
        <v>503050711</v>
      </c>
      <c r="D30" s="4" t="s">
        <v>351</v>
      </c>
      <c r="E30" s="55" t="s">
        <v>7</v>
      </c>
      <c r="F30" s="47">
        <v>142310.93</v>
      </c>
      <c r="G30" s="4">
        <v>0</v>
      </c>
      <c r="H30" s="26">
        <f t="shared" si="0"/>
        <v>0</v>
      </c>
    </row>
    <row r="31" spans="1:8" x14ac:dyDescent="0.3">
      <c r="A31" s="3">
        <v>29</v>
      </c>
      <c r="B31" s="4" t="s">
        <v>326</v>
      </c>
      <c r="C31" s="55">
        <v>503050611</v>
      </c>
      <c r="D31" s="4" t="s">
        <v>352</v>
      </c>
      <c r="E31" s="55" t="s">
        <v>7</v>
      </c>
      <c r="F31" s="47">
        <v>145404.64000000001</v>
      </c>
      <c r="G31" s="4">
        <v>0</v>
      </c>
      <c r="H31" s="26">
        <f t="shared" si="0"/>
        <v>0</v>
      </c>
    </row>
    <row r="32" spans="1:8" x14ac:dyDescent="0.3">
      <c r="A32" s="3">
        <v>30</v>
      </c>
      <c r="B32" s="4" t="s">
        <v>326</v>
      </c>
      <c r="C32" s="55">
        <v>503050311</v>
      </c>
      <c r="D32" s="4" t="s">
        <v>353</v>
      </c>
      <c r="E32" s="55" t="s">
        <v>7</v>
      </c>
      <c r="F32" s="22">
        <v>101740.18</v>
      </c>
      <c r="G32" s="20">
        <v>0</v>
      </c>
      <c r="H32" s="48">
        <f t="shared" si="0"/>
        <v>0</v>
      </c>
    </row>
    <row r="33" spans="1:8" x14ac:dyDescent="0.3">
      <c r="A33" s="3">
        <v>31</v>
      </c>
      <c r="B33" s="4" t="s">
        <v>326</v>
      </c>
      <c r="C33" s="55">
        <v>504110441</v>
      </c>
      <c r="D33" s="4" t="s">
        <v>354</v>
      </c>
      <c r="E33" s="55" t="s">
        <v>9</v>
      </c>
      <c r="F33" s="22">
        <v>261.18</v>
      </c>
      <c r="G33" s="20">
        <v>0</v>
      </c>
      <c r="H33" s="48">
        <f t="shared" si="0"/>
        <v>0</v>
      </c>
    </row>
    <row r="34" spans="1:8" x14ac:dyDescent="0.3">
      <c r="A34" s="3">
        <v>32</v>
      </c>
      <c r="B34" s="4" t="s">
        <v>326</v>
      </c>
      <c r="C34" s="55">
        <v>504111341</v>
      </c>
      <c r="D34" s="4" t="s">
        <v>355</v>
      </c>
      <c r="E34" s="55" t="s">
        <v>9</v>
      </c>
      <c r="F34" s="22">
        <v>91.05</v>
      </c>
      <c r="G34" s="20">
        <v>0</v>
      </c>
      <c r="H34" s="48">
        <f t="shared" si="0"/>
        <v>0</v>
      </c>
    </row>
    <row r="35" spans="1:8" x14ac:dyDescent="0.3">
      <c r="A35" s="3">
        <v>33</v>
      </c>
      <c r="B35" s="4" t="s">
        <v>326</v>
      </c>
      <c r="C35" s="55">
        <v>508010741</v>
      </c>
      <c r="D35" s="4" t="s">
        <v>356</v>
      </c>
      <c r="E35" s="55" t="s">
        <v>9</v>
      </c>
      <c r="F35" s="22">
        <v>423.32</v>
      </c>
      <c r="G35" s="20">
        <v>0</v>
      </c>
      <c r="H35" s="48">
        <f t="shared" si="0"/>
        <v>0</v>
      </c>
    </row>
    <row r="36" spans="1:8" x14ac:dyDescent="0.3">
      <c r="A36" s="3">
        <v>34</v>
      </c>
      <c r="B36" s="4" t="s">
        <v>326</v>
      </c>
      <c r="C36" s="55">
        <v>508010841</v>
      </c>
      <c r="D36" s="4" t="s">
        <v>357</v>
      </c>
      <c r="E36" s="55" t="s">
        <v>9</v>
      </c>
      <c r="F36" s="22">
        <v>951.89</v>
      </c>
      <c r="G36" s="20">
        <v>0</v>
      </c>
      <c r="H36" s="48">
        <f t="shared" si="0"/>
        <v>0</v>
      </c>
    </row>
    <row r="37" spans="1:8" x14ac:dyDescent="0.3">
      <c r="A37" s="3">
        <v>35</v>
      </c>
      <c r="B37" s="4" t="s">
        <v>326</v>
      </c>
      <c r="C37" s="55">
        <v>508020432</v>
      </c>
      <c r="D37" s="4" t="s">
        <v>358</v>
      </c>
      <c r="E37" s="55" t="s">
        <v>9</v>
      </c>
      <c r="F37" s="5">
        <v>1153.01</v>
      </c>
      <c r="G37" s="4">
        <v>0</v>
      </c>
      <c r="H37" s="26">
        <f t="shared" si="0"/>
        <v>0</v>
      </c>
    </row>
    <row r="38" spans="1:8" x14ac:dyDescent="0.3">
      <c r="A38" s="3">
        <v>36</v>
      </c>
      <c r="B38" s="4" t="s">
        <v>326</v>
      </c>
      <c r="C38" s="55">
        <v>508011041</v>
      </c>
      <c r="D38" s="4" t="s">
        <v>359</v>
      </c>
      <c r="E38" s="55" t="s">
        <v>9</v>
      </c>
      <c r="F38" s="5">
        <v>678.15</v>
      </c>
      <c r="G38" s="4">
        <v>0</v>
      </c>
      <c r="H38" s="26">
        <f t="shared" si="0"/>
        <v>0</v>
      </c>
    </row>
    <row r="39" spans="1:8" x14ac:dyDescent="0.3">
      <c r="A39" s="3">
        <v>37</v>
      </c>
      <c r="B39" s="4" t="s">
        <v>326</v>
      </c>
      <c r="C39" s="55">
        <v>508030641</v>
      </c>
      <c r="D39" s="4" t="s">
        <v>360</v>
      </c>
      <c r="E39" s="55" t="s">
        <v>9</v>
      </c>
      <c r="F39" s="5">
        <v>326.7</v>
      </c>
      <c r="G39" s="4">
        <v>0</v>
      </c>
      <c r="H39" s="26">
        <f t="shared" si="0"/>
        <v>0</v>
      </c>
    </row>
    <row r="40" spans="1:8" x14ac:dyDescent="0.3">
      <c r="A40" s="3">
        <v>38</v>
      </c>
      <c r="B40" s="4" t="s">
        <v>326</v>
      </c>
      <c r="C40" s="55">
        <v>508010341</v>
      </c>
      <c r="D40" s="4" t="s">
        <v>361</v>
      </c>
      <c r="E40" s="55" t="s">
        <v>9</v>
      </c>
      <c r="F40" s="22">
        <v>68.260000000000005</v>
      </c>
      <c r="G40" s="20">
        <v>0</v>
      </c>
      <c r="H40" s="48">
        <f t="shared" si="0"/>
        <v>0</v>
      </c>
    </row>
    <row r="41" spans="1:8" x14ac:dyDescent="0.3">
      <c r="A41" s="3">
        <v>39</v>
      </c>
      <c r="B41" s="4" t="s">
        <v>326</v>
      </c>
      <c r="C41" s="55">
        <v>508010441</v>
      </c>
      <c r="D41" s="4" t="s">
        <v>362</v>
      </c>
      <c r="E41" s="55" t="s">
        <v>9</v>
      </c>
      <c r="F41" s="22">
        <v>103.83</v>
      </c>
      <c r="G41" s="20">
        <v>0</v>
      </c>
      <c r="H41" s="48">
        <f t="shared" si="0"/>
        <v>0</v>
      </c>
    </row>
    <row r="42" spans="1:8" x14ac:dyDescent="0.3">
      <c r="A42" s="3">
        <v>40</v>
      </c>
      <c r="B42" s="4" t="s">
        <v>326</v>
      </c>
      <c r="C42" s="55">
        <v>508030441</v>
      </c>
      <c r="D42" s="4" t="s">
        <v>363</v>
      </c>
      <c r="E42" s="55" t="s">
        <v>9</v>
      </c>
      <c r="F42" s="22">
        <v>418.53</v>
      </c>
      <c r="G42" s="20">
        <v>0</v>
      </c>
      <c r="H42" s="48">
        <f t="shared" si="0"/>
        <v>0</v>
      </c>
    </row>
    <row r="43" spans="1:8" x14ac:dyDescent="0.3">
      <c r="A43" s="3">
        <v>41</v>
      </c>
      <c r="B43" s="4" t="s">
        <v>326</v>
      </c>
      <c r="C43" s="55">
        <v>508030341</v>
      </c>
      <c r="D43" s="4" t="s">
        <v>364</v>
      </c>
      <c r="E43" s="55" t="s">
        <v>9</v>
      </c>
      <c r="F43" s="22">
        <v>359.42</v>
      </c>
      <c r="G43" s="20">
        <v>0</v>
      </c>
      <c r="H43" s="48">
        <f t="shared" si="0"/>
        <v>0</v>
      </c>
    </row>
    <row r="44" spans="1:8" x14ac:dyDescent="0.3">
      <c r="A44" s="3">
        <v>42</v>
      </c>
      <c r="B44" s="4" t="s">
        <v>326</v>
      </c>
      <c r="C44" s="55">
        <v>508030741</v>
      </c>
      <c r="D44" s="4" t="s">
        <v>699</v>
      </c>
      <c r="E44" s="55" t="s">
        <v>9</v>
      </c>
      <c r="F44" s="22">
        <v>741.21</v>
      </c>
      <c r="G44" s="20">
        <v>0</v>
      </c>
      <c r="H44" s="48">
        <f t="shared" si="0"/>
        <v>0</v>
      </c>
    </row>
    <row r="45" spans="1:8" x14ac:dyDescent="0.3">
      <c r="A45" s="3">
        <v>43</v>
      </c>
      <c r="B45" s="4" t="s">
        <v>326</v>
      </c>
      <c r="C45" s="55">
        <v>508020341</v>
      </c>
      <c r="D45" s="4" t="s">
        <v>365</v>
      </c>
      <c r="E45" s="55" t="s">
        <v>9</v>
      </c>
      <c r="F45" s="5">
        <v>289.57</v>
      </c>
      <c r="G45" s="4">
        <v>0</v>
      </c>
      <c r="H45" s="26">
        <f t="shared" si="0"/>
        <v>0</v>
      </c>
    </row>
    <row r="46" spans="1:8" x14ac:dyDescent="0.3">
      <c r="A46" s="3">
        <v>44</v>
      </c>
      <c r="B46" s="4" t="s">
        <v>326</v>
      </c>
      <c r="C46" s="55">
        <v>508011141</v>
      </c>
      <c r="D46" s="4" t="s">
        <v>366</v>
      </c>
      <c r="E46" s="55" t="s">
        <v>9</v>
      </c>
      <c r="F46" s="5">
        <v>243.79</v>
      </c>
      <c r="G46" s="4">
        <v>0</v>
      </c>
      <c r="H46" s="26">
        <f t="shared" si="0"/>
        <v>0</v>
      </c>
    </row>
    <row r="47" spans="1:8" ht="13.5" customHeight="1" x14ac:dyDescent="0.3">
      <c r="A47" s="3">
        <v>45</v>
      </c>
      <c r="B47" s="4" t="s">
        <v>326</v>
      </c>
      <c r="C47" s="55">
        <v>508030541</v>
      </c>
      <c r="D47" s="4" t="s">
        <v>367</v>
      </c>
      <c r="E47" s="55" t="s">
        <v>9</v>
      </c>
      <c r="F47" s="5">
        <v>183.15</v>
      </c>
      <c r="G47" s="4">
        <v>0</v>
      </c>
      <c r="H47" s="26">
        <f t="shared" si="0"/>
        <v>0</v>
      </c>
    </row>
    <row r="48" spans="1:8" ht="14.25" customHeight="1" x14ac:dyDescent="0.3">
      <c r="A48" s="3">
        <v>46</v>
      </c>
      <c r="B48" s="4" t="s">
        <v>326</v>
      </c>
      <c r="C48" s="55">
        <v>504010132</v>
      </c>
      <c r="D48" s="4" t="s">
        <v>368</v>
      </c>
      <c r="E48" s="55" t="s">
        <v>369</v>
      </c>
      <c r="F48" s="5">
        <v>327.83</v>
      </c>
      <c r="G48" s="4">
        <v>0</v>
      </c>
      <c r="H48" s="26">
        <f t="shared" si="0"/>
        <v>0</v>
      </c>
    </row>
    <row r="49" spans="1:8" x14ac:dyDescent="0.3">
      <c r="A49" s="3">
        <v>47</v>
      </c>
      <c r="B49" s="4" t="s">
        <v>326</v>
      </c>
      <c r="C49" s="55">
        <v>504010232</v>
      </c>
      <c r="D49" s="4" t="s">
        <v>370</v>
      </c>
      <c r="E49" s="55" t="s">
        <v>369</v>
      </c>
      <c r="F49" s="5">
        <v>518.96</v>
      </c>
      <c r="G49" s="4">
        <v>0</v>
      </c>
      <c r="H49" s="26">
        <f t="shared" si="0"/>
        <v>0</v>
      </c>
    </row>
    <row r="50" spans="1:8" x14ac:dyDescent="0.3">
      <c r="A50" s="3">
        <v>48</v>
      </c>
      <c r="B50" s="4" t="s">
        <v>326</v>
      </c>
      <c r="C50" s="55">
        <v>504010332</v>
      </c>
      <c r="D50" s="4" t="s">
        <v>371</v>
      </c>
      <c r="E50" s="55" t="s">
        <v>369</v>
      </c>
      <c r="F50" s="5">
        <v>1354.91</v>
      </c>
      <c r="G50" s="4">
        <v>0</v>
      </c>
      <c r="H50" s="26">
        <f t="shared" si="0"/>
        <v>0</v>
      </c>
    </row>
    <row r="51" spans="1:8" x14ac:dyDescent="0.3">
      <c r="A51" s="3">
        <v>49</v>
      </c>
      <c r="B51" s="4" t="s">
        <v>326</v>
      </c>
      <c r="C51" s="55">
        <v>504010432</v>
      </c>
      <c r="D51" s="4" t="s">
        <v>372</v>
      </c>
      <c r="E51" s="55" t="s">
        <v>369</v>
      </c>
      <c r="F51" s="5">
        <v>647.62</v>
      </c>
      <c r="G51" s="4">
        <v>0</v>
      </c>
      <c r="H51" s="26">
        <f t="shared" si="0"/>
        <v>0</v>
      </c>
    </row>
    <row r="52" spans="1:8" x14ac:dyDescent="0.3">
      <c r="A52" s="3">
        <v>50</v>
      </c>
      <c r="B52" s="4" t="s">
        <v>326</v>
      </c>
      <c r="C52" s="55">
        <v>504010532</v>
      </c>
      <c r="D52" s="4" t="s">
        <v>373</v>
      </c>
      <c r="E52" s="55" t="s">
        <v>369</v>
      </c>
      <c r="F52" s="5">
        <v>1683.48</v>
      </c>
      <c r="G52" s="4">
        <v>0</v>
      </c>
      <c r="H52" s="26">
        <f t="shared" si="0"/>
        <v>0</v>
      </c>
    </row>
    <row r="53" spans="1:8" x14ac:dyDescent="0.3">
      <c r="A53" s="3">
        <v>51</v>
      </c>
      <c r="B53" s="4" t="s">
        <v>326</v>
      </c>
      <c r="C53" s="55">
        <v>504010632</v>
      </c>
      <c r="D53" s="4" t="s">
        <v>374</v>
      </c>
      <c r="E53" s="55" t="s">
        <v>369</v>
      </c>
      <c r="F53" s="5">
        <v>730.12</v>
      </c>
      <c r="G53" s="4">
        <v>0</v>
      </c>
      <c r="H53" s="26">
        <f t="shared" si="0"/>
        <v>0</v>
      </c>
    </row>
    <row r="54" spans="1:8" x14ac:dyDescent="0.3">
      <c r="A54" s="3">
        <v>52</v>
      </c>
      <c r="B54" s="4" t="s">
        <v>326</v>
      </c>
      <c r="C54" s="55">
        <v>309010541</v>
      </c>
      <c r="D54" s="4" t="s">
        <v>375</v>
      </c>
      <c r="E54" s="55" t="s">
        <v>9</v>
      </c>
      <c r="F54" s="5">
        <v>7628.27</v>
      </c>
      <c r="G54" s="4">
        <v>0</v>
      </c>
      <c r="H54" s="26">
        <f t="shared" si="0"/>
        <v>0</v>
      </c>
    </row>
    <row r="55" spans="1:8" x14ac:dyDescent="0.3">
      <c r="A55" s="3">
        <v>53</v>
      </c>
      <c r="B55" s="4" t="s">
        <v>326</v>
      </c>
      <c r="C55" s="55">
        <v>309010841</v>
      </c>
      <c r="D55" s="4" t="s">
        <v>376</v>
      </c>
      <c r="E55" s="55" t="s">
        <v>377</v>
      </c>
      <c r="F55" s="5">
        <v>524.23</v>
      </c>
      <c r="G55" s="4">
        <v>0</v>
      </c>
      <c r="H55" s="26">
        <f t="shared" si="0"/>
        <v>0</v>
      </c>
    </row>
    <row r="56" spans="1:8" x14ac:dyDescent="0.3">
      <c r="A56" s="3">
        <v>54</v>
      </c>
      <c r="B56" s="4" t="s">
        <v>326</v>
      </c>
      <c r="C56" s="55">
        <v>304010632</v>
      </c>
      <c r="D56" s="4" t="s">
        <v>378</v>
      </c>
      <c r="E56" s="55" t="s">
        <v>369</v>
      </c>
      <c r="F56" s="5">
        <v>19138.97</v>
      </c>
      <c r="G56" s="4">
        <v>0</v>
      </c>
      <c r="H56" s="26">
        <f t="shared" si="0"/>
        <v>0</v>
      </c>
    </row>
    <row r="57" spans="1:8" x14ac:dyDescent="0.3">
      <c r="A57" s="3">
        <v>55</v>
      </c>
      <c r="B57" s="4" t="s">
        <v>326</v>
      </c>
      <c r="C57" s="55">
        <v>304010532</v>
      </c>
      <c r="D57" s="4" t="s">
        <v>379</v>
      </c>
      <c r="E57" s="55" t="s">
        <v>369</v>
      </c>
      <c r="F57" s="5">
        <v>10384.98</v>
      </c>
      <c r="G57" s="4">
        <v>0</v>
      </c>
      <c r="H57" s="26">
        <f t="shared" si="0"/>
        <v>0</v>
      </c>
    </row>
    <row r="58" spans="1:8" x14ac:dyDescent="0.3">
      <c r="A58" s="3">
        <v>56</v>
      </c>
      <c r="B58" s="4" t="s">
        <v>326</v>
      </c>
      <c r="C58" s="55">
        <v>304010332</v>
      </c>
      <c r="D58" s="4" t="s">
        <v>380</v>
      </c>
      <c r="E58" s="55" t="s">
        <v>9</v>
      </c>
      <c r="F58" s="5">
        <v>40318.519999999997</v>
      </c>
      <c r="G58" s="4">
        <v>0</v>
      </c>
      <c r="H58" s="26">
        <f t="shared" si="0"/>
        <v>0</v>
      </c>
    </row>
    <row r="59" spans="1:8" x14ac:dyDescent="0.3">
      <c r="A59" s="3">
        <v>57</v>
      </c>
      <c r="B59" s="4" t="s">
        <v>326</v>
      </c>
      <c r="C59" s="55">
        <v>304022332</v>
      </c>
      <c r="D59" s="4" t="s">
        <v>381</v>
      </c>
      <c r="E59" s="55" t="s">
        <v>9</v>
      </c>
      <c r="F59" s="5">
        <v>41924.78</v>
      </c>
      <c r="G59" s="4">
        <v>0</v>
      </c>
      <c r="H59" s="26">
        <f t="shared" si="0"/>
        <v>0</v>
      </c>
    </row>
    <row r="60" spans="1:8" x14ac:dyDescent="0.3">
      <c r="A60" s="3">
        <v>58</v>
      </c>
      <c r="B60" s="4" t="s">
        <v>326</v>
      </c>
      <c r="C60" s="55">
        <v>304020832</v>
      </c>
      <c r="D60" s="4" t="s">
        <v>382</v>
      </c>
      <c r="E60" s="55" t="s">
        <v>9</v>
      </c>
      <c r="F60" s="5">
        <v>41486.71</v>
      </c>
      <c r="G60" s="4">
        <v>0</v>
      </c>
      <c r="H60" s="26">
        <f t="shared" si="0"/>
        <v>0</v>
      </c>
    </row>
    <row r="61" spans="1:8" x14ac:dyDescent="0.3">
      <c r="A61" s="3">
        <v>59</v>
      </c>
      <c r="B61" s="4" t="s">
        <v>326</v>
      </c>
      <c r="C61" s="55">
        <v>304021132</v>
      </c>
      <c r="D61" s="4" t="s">
        <v>383</v>
      </c>
      <c r="E61" s="55" t="s">
        <v>9</v>
      </c>
      <c r="F61" s="5">
        <v>55615.93</v>
      </c>
      <c r="G61" s="4">
        <v>0</v>
      </c>
      <c r="H61" s="26">
        <f t="shared" si="0"/>
        <v>0</v>
      </c>
    </row>
    <row r="62" spans="1:8" x14ac:dyDescent="0.3">
      <c r="A62" s="3">
        <v>60</v>
      </c>
      <c r="B62" s="4" t="s">
        <v>326</v>
      </c>
      <c r="C62" s="55">
        <v>502020321</v>
      </c>
      <c r="D62" s="4" t="s">
        <v>384</v>
      </c>
      <c r="E62" s="55" t="s">
        <v>7</v>
      </c>
      <c r="F62" s="22">
        <v>18551.38</v>
      </c>
      <c r="G62" s="20">
        <v>0</v>
      </c>
      <c r="H62" s="48">
        <f>ROUND(F62*G62,2)</f>
        <v>0</v>
      </c>
    </row>
    <row r="63" spans="1:8" x14ac:dyDescent="0.3">
      <c r="A63" s="3">
        <v>61</v>
      </c>
      <c r="B63" s="4" t="s">
        <v>326</v>
      </c>
      <c r="C63" s="55">
        <v>502030621</v>
      </c>
      <c r="D63" s="4" t="s">
        <v>385</v>
      </c>
      <c r="E63" s="55" t="s">
        <v>2</v>
      </c>
      <c r="F63" s="22">
        <v>27864.46</v>
      </c>
      <c r="G63" s="20">
        <v>0</v>
      </c>
      <c r="H63" s="48">
        <f t="shared" si="0"/>
        <v>0</v>
      </c>
    </row>
    <row r="64" spans="1:8" x14ac:dyDescent="0.3">
      <c r="A64" s="3">
        <v>62</v>
      </c>
      <c r="B64" s="4" t="s">
        <v>326</v>
      </c>
      <c r="C64" s="55">
        <v>502030321</v>
      </c>
      <c r="D64" s="4" t="s">
        <v>386</v>
      </c>
      <c r="E64" s="55" t="s">
        <v>2</v>
      </c>
      <c r="F64" s="22">
        <v>13801.78</v>
      </c>
      <c r="G64" s="20">
        <v>0</v>
      </c>
      <c r="H64" s="48">
        <f t="shared" si="0"/>
        <v>0</v>
      </c>
    </row>
    <row r="65" spans="1:8" x14ac:dyDescent="0.3">
      <c r="A65" s="3">
        <v>63</v>
      </c>
      <c r="B65" s="4" t="s">
        <v>326</v>
      </c>
      <c r="C65" s="55">
        <v>502020621</v>
      </c>
      <c r="D65" s="4" t="s">
        <v>387</v>
      </c>
      <c r="E65" s="55" t="s">
        <v>7</v>
      </c>
      <c r="F65" s="22">
        <v>31272.84</v>
      </c>
      <c r="G65" s="20">
        <v>0</v>
      </c>
      <c r="H65" s="48">
        <f t="shared" si="0"/>
        <v>0</v>
      </c>
    </row>
    <row r="66" spans="1:8" x14ac:dyDescent="0.3">
      <c r="A66" s="3">
        <v>64</v>
      </c>
      <c r="B66" s="4" t="s">
        <v>326</v>
      </c>
      <c r="C66" s="55">
        <v>502010321</v>
      </c>
      <c r="D66" s="4" t="s">
        <v>388</v>
      </c>
      <c r="E66" s="55" t="s">
        <v>2</v>
      </c>
      <c r="F66" s="47">
        <v>25658.05</v>
      </c>
      <c r="G66" s="4">
        <v>0</v>
      </c>
      <c r="H66" s="26">
        <f t="shared" si="0"/>
        <v>0</v>
      </c>
    </row>
    <row r="67" spans="1:8" x14ac:dyDescent="0.3">
      <c r="A67" s="3">
        <v>65</v>
      </c>
      <c r="B67" s="4" t="s">
        <v>326</v>
      </c>
      <c r="C67" s="55">
        <v>502010621</v>
      </c>
      <c r="D67" s="4" t="s">
        <v>389</v>
      </c>
      <c r="E67" s="55" t="s">
        <v>2</v>
      </c>
      <c r="F67" s="47">
        <v>38139.33</v>
      </c>
      <c r="G67" s="4">
        <v>0</v>
      </c>
      <c r="H67" s="26">
        <f t="shared" si="0"/>
        <v>0</v>
      </c>
    </row>
    <row r="68" spans="1:8" x14ac:dyDescent="0.3">
      <c r="A68" s="3">
        <v>66</v>
      </c>
      <c r="B68" s="4" t="s">
        <v>326</v>
      </c>
      <c r="C68" s="55">
        <v>502010921</v>
      </c>
      <c r="D68" s="4" t="s">
        <v>671</v>
      </c>
      <c r="E68" s="55" t="s">
        <v>2</v>
      </c>
      <c r="F68" s="47">
        <v>62290.12</v>
      </c>
      <c r="G68" s="4">
        <v>0</v>
      </c>
      <c r="H68" s="26">
        <f t="shared" si="0"/>
        <v>0</v>
      </c>
    </row>
    <row r="69" spans="1:8" x14ac:dyDescent="0.3">
      <c r="A69" s="3">
        <v>67</v>
      </c>
      <c r="B69" s="4" t="s">
        <v>326</v>
      </c>
      <c r="C69" s="55">
        <v>502011221</v>
      </c>
      <c r="D69" s="4" t="s">
        <v>390</v>
      </c>
      <c r="E69" s="55" t="s">
        <v>2</v>
      </c>
      <c r="F69" s="47">
        <v>122653.45</v>
      </c>
      <c r="G69" s="4">
        <v>0</v>
      </c>
      <c r="H69" s="26">
        <f t="shared" si="0"/>
        <v>0</v>
      </c>
    </row>
    <row r="70" spans="1:8" x14ac:dyDescent="0.3">
      <c r="A70" s="3">
        <v>68</v>
      </c>
      <c r="B70" s="4" t="s">
        <v>326</v>
      </c>
      <c r="C70" s="55">
        <v>502011521</v>
      </c>
      <c r="D70" s="4" t="s">
        <v>391</v>
      </c>
      <c r="E70" s="55" t="s">
        <v>2</v>
      </c>
      <c r="F70" s="47">
        <v>203337.56</v>
      </c>
      <c r="G70" s="4">
        <v>0</v>
      </c>
      <c r="H70" s="26">
        <f t="shared" si="0"/>
        <v>0</v>
      </c>
    </row>
    <row r="71" spans="1:8" x14ac:dyDescent="0.3">
      <c r="A71" s="3">
        <v>69</v>
      </c>
      <c r="B71" s="4" t="s">
        <v>326</v>
      </c>
      <c r="C71" s="55">
        <v>502011821</v>
      </c>
      <c r="D71" s="4" t="s">
        <v>700</v>
      </c>
      <c r="E71" s="55" t="s">
        <v>2</v>
      </c>
      <c r="F71" s="47">
        <v>271669.28999999998</v>
      </c>
      <c r="G71" s="4">
        <v>0</v>
      </c>
      <c r="H71" s="26">
        <f t="shared" ref="H71:H72" si="1">ROUND(F71*G71,2)</f>
        <v>0</v>
      </c>
    </row>
    <row r="72" spans="1:8" x14ac:dyDescent="0.3">
      <c r="A72" s="3">
        <v>70</v>
      </c>
      <c r="B72" s="4" t="s">
        <v>326</v>
      </c>
      <c r="C72" s="55">
        <v>501013021</v>
      </c>
      <c r="D72" s="4" t="s">
        <v>392</v>
      </c>
      <c r="E72" s="55" t="s">
        <v>2</v>
      </c>
      <c r="F72" s="5">
        <v>25284.26</v>
      </c>
      <c r="G72" s="4">
        <v>0</v>
      </c>
      <c r="H72" s="26">
        <f t="shared" si="1"/>
        <v>0</v>
      </c>
    </row>
    <row r="73" spans="1:8" x14ac:dyDescent="0.3">
      <c r="A73" s="3">
        <v>71</v>
      </c>
      <c r="B73" s="4" t="s">
        <v>326</v>
      </c>
      <c r="C73" s="55">
        <v>501015121</v>
      </c>
      <c r="D73" s="4" t="s">
        <v>393</v>
      </c>
      <c r="E73" s="55" t="s">
        <v>2</v>
      </c>
      <c r="F73" s="22">
        <v>102514.93</v>
      </c>
      <c r="G73" s="20">
        <v>0</v>
      </c>
      <c r="H73" s="48">
        <f>ROUND(F73*G73,2)</f>
        <v>0</v>
      </c>
    </row>
    <row r="74" spans="1:8" x14ac:dyDescent="0.3">
      <c r="A74" s="3">
        <v>72</v>
      </c>
      <c r="B74" s="4" t="s">
        <v>326</v>
      </c>
      <c r="C74" s="55">
        <v>501012921</v>
      </c>
      <c r="D74" s="4" t="s">
        <v>394</v>
      </c>
      <c r="E74" s="55" t="s">
        <v>2</v>
      </c>
      <c r="F74" s="5">
        <v>43310.09</v>
      </c>
      <c r="G74" s="4">
        <v>0</v>
      </c>
      <c r="H74" s="26">
        <f t="shared" ref="H74:H141" si="2">ROUND(F74*G74,2)</f>
        <v>0</v>
      </c>
    </row>
    <row r="75" spans="1:8" x14ac:dyDescent="0.3">
      <c r="A75" s="3">
        <v>73</v>
      </c>
      <c r="B75" s="4" t="s">
        <v>326</v>
      </c>
      <c r="C75" s="55">
        <v>501015521</v>
      </c>
      <c r="D75" s="4" t="s">
        <v>395</v>
      </c>
      <c r="E75" s="55" t="s">
        <v>2</v>
      </c>
      <c r="F75" s="22">
        <v>267249.68</v>
      </c>
      <c r="G75" s="20">
        <v>0</v>
      </c>
      <c r="H75" s="48">
        <f t="shared" si="2"/>
        <v>0</v>
      </c>
    </row>
    <row r="76" spans="1:8" x14ac:dyDescent="0.3">
      <c r="A76" s="3">
        <v>74</v>
      </c>
      <c r="B76" s="4" t="s">
        <v>326</v>
      </c>
      <c r="C76" s="55">
        <v>501015821</v>
      </c>
      <c r="D76" s="4" t="s">
        <v>396</v>
      </c>
      <c r="E76" s="55" t="s">
        <v>2</v>
      </c>
      <c r="F76" s="22">
        <v>485953.52</v>
      </c>
      <c r="G76" s="20">
        <v>0</v>
      </c>
      <c r="H76" s="48">
        <f t="shared" si="2"/>
        <v>0</v>
      </c>
    </row>
    <row r="77" spans="1:8" x14ac:dyDescent="0.3">
      <c r="A77" s="3">
        <v>75</v>
      </c>
      <c r="B77" s="4" t="s">
        <v>326</v>
      </c>
      <c r="C77" s="55">
        <v>501015321</v>
      </c>
      <c r="D77" s="4" t="s">
        <v>397</v>
      </c>
      <c r="E77" s="55" t="s">
        <v>2</v>
      </c>
      <c r="F77" s="22">
        <v>166180.42000000001</v>
      </c>
      <c r="G77" s="20">
        <v>0</v>
      </c>
      <c r="H77" s="48">
        <f t="shared" si="2"/>
        <v>0</v>
      </c>
    </row>
    <row r="78" spans="1:8" x14ac:dyDescent="0.3">
      <c r="A78" s="3">
        <v>76</v>
      </c>
      <c r="B78" s="4" t="s">
        <v>326</v>
      </c>
      <c r="C78" s="55">
        <v>501016021</v>
      </c>
      <c r="D78" s="4" t="s">
        <v>398</v>
      </c>
      <c r="E78" s="55" t="s">
        <v>2</v>
      </c>
      <c r="F78" s="22">
        <v>1047259.31</v>
      </c>
      <c r="G78" s="20">
        <v>0</v>
      </c>
      <c r="H78" s="48">
        <f t="shared" si="2"/>
        <v>0</v>
      </c>
    </row>
    <row r="79" spans="1:8" x14ac:dyDescent="0.3">
      <c r="A79" s="3">
        <v>77</v>
      </c>
      <c r="B79" s="4" t="s">
        <v>326</v>
      </c>
      <c r="C79" s="55">
        <v>501016121</v>
      </c>
      <c r="D79" s="4" t="s">
        <v>399</v>
      </c>
      <c r="E79" s="55" t="s">
        <v>2</v>
      </c>
      <c r="F79" s="22">
        <v>1509569.3</v>
      </c>
      <c r="G79" s="20">
        <v>0</v>
      </c>
      <c r="H79" s="48">
        <f t="shared" si="2"/>
        <v>0</v>
      </c>
    </row>
    <row r="80" spans="1:8" x14ac:dyDescent="0.3">
      <c r="A80" s="3">
        <v>78</v>
      </c>
      <c r="B80" s="4" t="s">
        <v>326</v>
      </c>
      <c r="C80" s="55">
        <v>501015921</v>
      </c>
      <c r="D80" s="4" t="s">
        <v>400</v>
      </c>
      <c r="E80" s="55" t="s">
        <v>2</v>
      </c>
      <c r="F80" s="22">
        <v>835742.29</v>
      </c>
      <c r="G80" s="20">
        <v>0</v>
      </c>
      <c r="H80" s="48">
        <f t="shared" si="2"/>
        <v>0</v>
      </c>
    </row>
    <row r="81" spans="1:8" x14ac:dyDescent="0.3">
      <c r="A81" s="3">
        <v>79</v>
      </c>
      <c r="B81" s="4" t="s">
        <v>326</v>
      </c>
      <c r="C81" s="55">
        <v>501017421</v>
      </c>
      <c r="D81" s="4" t="s">
        <v>401</v>
      </c>
      <c r="E81" s="55" t="s">
        <v>2</v>
      </c>
      <c r="F81" s="47">
        <v>125852.36</v>
      </c>
      <c r="G81" s="21">
        <v>0</v>
      </c>
      <c r="H81" s="26">
        <f t="shared" si="2"/>
        <v>0</v>
      </c>
    </row>
    <row r="82" spans="1:8" x14ac:dyDescent="0.3">
      <c r="A82" s="3">
        <v>80</v>
      </c>
      <c r="B82" s="4" t="s">
        <v>326</v>
      </c>
      <c r="C82" s="55">
        <v>501017721</v>
      </c>
      <c r="D82" s="4" t="s">
        <v>402</v>
      </c>
      <c r="E82" s="55" t="s">
        <v>2</v>
      </c>
      <c r="F82" s="22">
        <v>119154.63</v>
      </c>
      <c r="G82" s="20">
        <v>0</v>
      </c>
      <c r="H82" s="48">
        <f t="shared" si="2"/>
        <v>0</v>
      </c>
    </row>
    <row r="83" spans="1:8" x14ac:dyDescent="0.3">
      <c r="A83" s="3">
        <v>81</v>
      </c>
      <c r="B83" s="4" t="s">
        <v>326</v>
      </c>
      <c r="C83" s="55">
        <v>501017821</v>
      </c>
      <c r="D83" s="4" t="s">
        <v>403</v>
      </c>
      <c r="E83" s="55" t="s">
        <v>2</v>
      </c>
      <c r="F83" s="47">
        <v>229429.95</v>
      </c>
      <c r="G83" s="4">
        <v>0</v>
      </c>
      <c r="H83" s="26">
        <f t="shared" si="2"/>
        <v>0</v>
      </c>
    </row>
    <row r="84" spans="1:8" x14ac:dyDescent="0.3">
      <c r="A84" s="3">
        <v>82</v>
      </c>
      <c r="B84" s="4" t="s">
        <v>326</v>
      </c>
      <c r="C84" s="55">
        <v>501017921</v>
      </c>
      <c r="D84" s="4" t="s">
        <v>404</v>
      </c>
      <c r="E84" s="55" t="s">
        <v>2</v>
      </c>
      <c r="F84" s="47">
        <v>248238.29</v>
      </c>
      <c r="G84" s="4">
        <v>0</v>
      </c>
      <c r="H84" s="26">
        <f t="shared" si="2"/>
        <v>0</v>
      </c>
    </row>
    <row r="85" spans="1:8" x14ac:dyDescent="0.3">
      <c r="A85" s="3">
        <v>83</v>
      </c>
      <c r="B85" s="4" t="s">
        <v>326</v>
      </c>
      <c r="C85" s="55">
        <v>501018121</v>
      </c>
      <c r="D85" s="4" t="s">
        <v>405</v>
      </c>
      <c r="E85" s="55" t="s">
        <v>2</v>
      </c>
      <c r="F85" s="47">
        <v>481307.89</v>
      </c>
      <c r="G85" s="4">
        <v>0</v>
      </c>
      <c r="H85" s="26">
        <f t="shared" si="2"/>
        <v>0</v>
      </c>
    </row>
    <row r="86" spans="1:8" x14ac:dyDescent="0.3">
      <c r="A86" s="3">
        <v>84</v>
      </c>
      <c r="B86" s="4" t="s">
        <v>326</v>
      </c>
      <c r="C86" s="55">
        <v>501018221</v>
      </c>
      <c r="D86" s="4" t="s">
        <v>406</v>
      </c>
      <c r="E86" s="55" t="s">
        <v>2</v>
      </c>
      <c r="F86" s="47">
        <v>781231.73</v>
      </c>
      <c r="G86" s="4">
        <v>0</v>
      </c>
      <c r="H86" s="26">
        <f t="shared" si="2"/>
        <v>0</v>
      </c>
    </row>
    <row r="87" spans="1:8" x14ac:dyDescent="0.3">
      <c r="A87" s="3">
        <v>85</v>
      </c>
      <c r="B87" s="4" t="s">
        <v>326</v>
      </c>
      <c r="C87" s="55">
        <v>501018321</v>
      </c>
      <c r="D87" s="4" t="s">
        <v>407</v>
      </c>
      <c r="E87" s="55" t="s">
        <v>2</v>
      </c>
      <c r="F87" s="47">
        <v>1277593.58</v>
      </c>
      <c r="G87" s="4">
        <v>0</v>
      </c>
      <c r="H87" s="26">
        <f t="shared" si="2"/>
        <v>0</v>
      </c>
    </row>
    <row r="88" spans="1:8" x14ac:dyDescent="0.3">
      <c r="A88" s="3">
        <v>86</v>
      </c>
      <c r="B88" s="4" t="s">
        <v>326</v>
      </c>
      <c r="C88" s="56"/>
      <c r="D88" s="4" t="s">
        <v>408</v>
      </c>
      <c r="E88" s="55" t="s">
        <v>2</v>
      </c>
      <c r="F88" s="22">
        <v>26409.87</v>
      </c>
      <c r="G88" s="20">
        <v>0</v>
      </c>
      <c r="H88" s="48">
        <f t="shared" si="2"/>
        <v>0</v>
      </c>
    </row>
    <row r="89" spans="1:8" x14ac:dyDescent="0.3">
      <c r="A89" s="3">
        <v>87</v>
      </c>
      <c r="B89" s="4" t="s">
        <v>326</v>
      </c>
      <c r="C89" s="55">
        <v>501020421</v>
      </c>
      <c r="D89" s="4" t="s">
        <v>409</v>
      </c>
      <c r="E89" s="55" t="s">
        <v>2</v>
      </c>
      <c r="F89" s="22">
        <v>45754.33</v>
      </c>
      <c r="G89" s="20">
        <v>0</v>
      </c>
      <c r="H89" s="48">
        <f t="shared" si="2"/>
        <v>0</v>
      </c>
    </row>
    <row r="90" spans="1:8" x14ac:dyDescent="0.3">
      <c r="A90" s="3">
        <v>88</v>
      </c>
      <c r="B90" s="4" t="s">
        <v>326</v>
      </c>
      <c r="C90" s="55">
        <v>501020521</v>
      </c>
      <c r="D90" s="4" t="s">
        <v>410</v>
      </c>
      <c r="E90" s="55" t="s">
        <v>2</v>
      </c>
      <c r="F90" s="22">
        <v>75406.820000000007</v>
      </c>
      <c r="G90" s="20">
        <v>0</v>
      </c>
      <c r="H90" s="48">
        <f t="shared" si="2"/>
        <v>0</v>
      </c>
    </row>
    <row r="91" spans="1:8" x14ac:dyDescent="0.3">
      <c r="A91" s="3">
        <v>89</v>
      </c>
      <c r="B91" s="4" t="s">
        <v>326</v>
      </c>
      <c r="C91" s="55">
        <v>501020721</v>
      </c>
      <c r="D91" s="4" t="s">
        <v>411</v>
      </c>
      <c r="E91" s="55" t="s">
        <v>2</v>
      </c>
      <c r="F91" s="22">
        <v>153158.19</v>
      </c>
      <c r="G91" s="20">
        <v>0</v>
      </c>
      <c r="H91" s="48">
        <f t="shared" si="2"/>
        <v>0</v>
      </c>
    </row>
    <row r="92" spans="1:8" x14ac:dyDescent="0.3">
      <c r="A92" s="3">
        <v>90</v>
      </c>
      <c r="B92" s="4" t="s">
        <v>326</v>
      </c>
      <c r="C92" s="55">
        <v>501020621</v>
      </c>
      <c r="D92" s="4" t="s">
        <v>412</v>
      </c>
      <c r="E92" s="55" t="s">
        <v>2</v>
      </c>
      <c r="F92" s="22">
        <v>93837.3</v>
      </c>
      <c r="G92" s="20">
        <v>0</v>
      </c>
      <c r="H92" s="48">
        <f t="shared" si="2"/>
        <v>0</v>
      </c>
    </row>
    <row r="93" spans="1:8" x14ac:dyDescent="0.3">
      <c r="A93" s="3">
        <v>91</v>
      </c>
      <c r="B93" s="4" t="s">
        <v>326</v>
      </c>
      <c r="C93" s="55">
        <v>501020821</v>
      </c>
      <c r="D93" s="4" t="s">
        <v>413</v>
      </c>
      <c r="E93" s="55" t="s">
        <v>2</v>
      </c>
      <c r="F93" s="22">
        <v>190583.36</v>
      </c>
      <c r="G93" s="20">
        <v>0</v>
      </c>
      <c r="H93" s="48">
        <f t="shared" si="2"/>
        <v>0</v>
      </c>
    </row>
    <row r="94" spans="1:8" x14ac:dyDescent="0.3">
      <c r="A94" s="3">
        <v>92</v>
      </c>
      <c r="B94" s="4"/>
      <c r="C94" s="55">
        <v>501021121</v>
      </c>
      <c r="D94" s="4" t="s">
        <v>701</v>
      </c>
      <c r="E94" s="55" t="s">
        <v>2</v>
      </c>
      <c r="F94" s="5">
        <v>855321.69</v>
      </c>
      <c r="G94" s="4">
        <v>0</v>
      </c>
      <c r="H94" s="26">
        <f t="shared" si="2"/>
        <v>0</v>
      </c>
    </row>
    <row r="95" spans="1:8" x14ac:dyDescent="0.3">
      <c r="A95" s="3">
        <v>93</v>
      </c>
      <c r="B95" s="4" t="s">
        <v>326</v>
      </c>
      <c r="C95" s="55">
        <v>501021721</v>
      </c>
      <c r="D95" s="4" t="s">
        <v>414</v>
      </c>
      <c r="E95" s="55" t="s">
        <v>2</v>
      </c>
      <c r="F95" s="22">
        <v>141738.01</v>
      </c>
      <c r="G95" s="20">
        <v>0</v>
      </c>
      <c r="H95" s="48">
        <f t="shared" si="2"/>
        <v>0</v>
      </c>
    </row>
    <row r="96" spans="1:8" x14ac:dyDescent="0.3">
      <c r="A96" s="3">
        <v>94</v>
      </c>
      <c r="B96" s="4" t="s">
        <v>326</v>
      </c>
      <c r="C96" s="55">
        <v>501021821</v>
      </c>
      <c r="D96" s="4" t="s">
        <v>415</v>
      </c>
      <c r="E96" s="55" t="s">
        <v>2</v>
      </c>
      <c r="F96" s="22">
        <v>215571.88</v>
      </c>
      <c r="G96" s="20">
        <v>0</v>
      </c>
      <c r="H96" s="48">
        <f t="shared" si="2"/>
        <v>0</v>
      </c>
    </row>
    <row r="97" spans="1:8" x14ac:dyDescent="0.3">
      <c r="A97" s="3">
        <v>95</v>
      </c>
      <c r="B97" s="4" t="s">
        <v>326</v>
      </c>
      <c r="C97" s="55">
        <v>501021921</v>
      </c>
      <c r="D97" s="4" t="s">
        <v>416</v>
      </c>
      <c r="E97" s="55" t="s">
        <v>2</v>
      </c>
      <c r="F97" s="22">
        <v>347928.97</v>
      </c>
      <c r="G97" s="20">
        <v>0</v>
      </c>
      <c r="H97" s="48">
        <f t="shared" si="2"/>
        <v>0</v>
      </c>
    </row>
    <row r="98" spans="1:8" x14ac:dyDescent="0.3">
      <c r="A98" s="3">
        <v>96</v>
      </c>
      <c r="B98" s="4" t="s">
        <v>326</v>
      </c>
      <c r="C98" s="55">
        <v>501022021</v>
      </c>
      <c r="D98" s="4" t="s">
        <v>417</v>
      </c>
      <c r="E98" s="55" t="s">
        <v>2</v>
      </c>
      <c r="F98" s="22">
        <v>70408.08</v>
      </c>
      <c r="G98" s="20">
        <v>0</v>
      </c>
      <c r="H98" s="48">
        <f t="shared" si="2"/>
        <v>0</v>
      </c>
    </row>
    <row r="99" spans="1:8" x14ac:dyDescent="0.3">
      <c r="A99" s="3">
        <v>97</v>
      </c>
      <c r="B99" s="4" t="s">
        <v>326</v>
      </c>
      <c r="C99" s="55">
        <v>501022121</v>
      </c>
      <c r="D99" s="4" t="s">
        <v>418</v>
      </c>
      <c r="E99" s="55" t="s">
        <v>2</v>
      </c>
      <c r="F99" s="22">
        <v>72989.73</v>
      </c>
      <c r="G99" s="20">
        <v>0</v>
      </c>
      <c r="H99" s="48">
        <f t="shared" si="2"/>
        <v>0</v>
      </c>
    </row>
    <row r="100" spans="1:8" x14ac:dyDescent="0.3">
      <c r="A100" s="3">
        <v>98</v>
      </c>
      <c r="B100" s="4" t="s">
        <v>326</v>
      </c>
      <c r="C100" s="55">
        <v>501022221</v>
      </c>
      <c r="D100" s="4" t="s">
        <v>419</v>
      </c>
      <c r="E100" s="55" t="s">
        <v>2</v>
      </c>
      <c r="F100" s="22">
        <v>135781.37</v>
      </c>
      <c r="G100" s="20">
        <v>0</v>
      </c>
      <c r="H100" s="48">
        <f t="shared" si="2"/>
        <v>0</v>
      </c>
    </row>
    <row r="101" spans="1:8" x14ac:dyDescent="0.3">
      <c r="A101" s="3">
        <v>99</v>
      </c>
      <c r="B101" s="4" t="s">
        <v>326</v>
      </c>
      <c r="C101" s="55">
        <v>501022321</v>
      </c>
      <c r="D101" s="4" t="s">
        <v>420</v>
      </c>
      <c r="E101" s="55" t="s">
        <v>2</v>
      </c>
      <c r="F101" s="47">
        <v>354938.27</v>
      </c>
      <c r="G101" s="4">
        <v>0</v>
      </c>
      <c r="H101" s="26">
        <f t="shared" si="2"/>
        <v>0</v>
      </c>
    </row>
    <row r="102" spans="1:8" x14ac:dyDescent="0.3">
      <c r="A102" s="3">
        <v>100</v>
      </c>
      <c r="B102" s="4" t="s">
        <v>326</v>
      </c>
      <c r="C102" s="55">
        <v>501022421</v>
      </c>
      <c r="D102" s="4" t="s">
        <v>421</v>
      </c>
      <c r="E102" s="55" t="s">
        <v>2</v>
      </c>
      <c r="F102" s="47">
        <v>751027.94</v>
      </c>
      <c r="G102" s="4">
        <v>0</v>
      </c>
      <c r="H102" s="26">
        <f t="shared" si="2"/>
        <v>0</v>
      </c>
    </row>
    <row r="103" spans="1:8" x14ac:dyDescent="0.3">
      <c r="A103" s="3">
        <v>101</v>
      </c>
      <c r="B103" s="4" t="s">
        <v>326</v>
      </c>
      <c r="C103" s="55">
        <v>501022521</v>
      </c>
      <c r="D103" s="4" t="s">
        <v>422</v>
      </c>
      <c r="E103" s="55" t="s">
        <v>2</v>
      </c>
      <c r="F103" s="47">
        <v>1168081.8899999999</v>
      </c>
      <c r="G103" s="4">
        <v>0</v>
      </c>
      <c r="H103" s="26">
        <f t="shared" si="2"/>
        <v>0</v>
      </c>
    </row>
    <row r="104" spans="1:8" x14ac:dyDescent="0.3">
      <c r="A104" s="3">
        <v>102</v>
      </c>
      <c r="B104" s="4" t="s">
        <v>326</v>
      </c>
      <c r="C104" s="55">
        <v>501022621</v>
      </c>
      <c r="D104" s="4" t="s">
        <v>423</v>
      </c>
      <c r="E104" s="55" t="s">
        <v>2</v>
      </c>
      <c r="F104" s="47">
        <v>1777071.1</v>
      </c>
      <c r="G104" s="4">
        <v>0</v>
      </c>
      <c r="H104" s="26">
        <f t="shared" si="2"/>
        <v>0</v>
      </c>
    </row>
    <row r="105" spans="1:8" x14ac:dyDescent="0.3">
      <c r="A105" s="3">
        <v>103</v>
      </c>
      <c r="B105" s="4" t="s">
        <v>326</v>
      </c>
      <c r="C105" s="55">
        <v>501023621</v>
      </c>
      <c r="D105" s="4" t="s">
        <v>702</v>
      </c>
      <c r="E105" s="55" t="s">
        <v>2</v>
      </c>
      <c r="F105" s="47">
        <v>1685372.9</v>
      </c>
      <c r="G105" s="4">
        <v>0</v>
      </c>
      <c r="H105" s="26">
        <f t="shared" ref="H105" si="3">ROUND(F105*G105,2)</f>
        <v>0</v>
      </c>
    </row>
    <row r="106" spans="1:8" x14ac:dyDescent="0.3">
      <c r="A106" s="3">
        <v>104</v>
      </c>
      <c r="B106" s="4" t="s">
        <v>326</v>
      </c>
      <c r="C106" s="55">
        <v>501023821</v>
      </c>
      <c r="D106" s="4" t="s">
        <v>424</v>
      </c>
      <c r="E106" s="55" t="s">
        <v>2</v>
      </c>
      <c r="F106" s="47">
        <v>1046828.46</v>
      </c>
      <c r="G106" s="4">
        <v>0</v>
      </c>
      <c r="H106" s="26">
        <f t="shared" si="2"/>
        <v>0</v>
      </c>
    </row>
    <row r="107" spans="1:8" x14ac:dyDescent="0.3">
      <c r="A107" s="3">
        <v>105</v>
      </c>
      <c r="B107" s="4" t="s">
        <v>326</v>
      </c>
      <c r="C107" s="55">
        <v>501023921</v>
      </c>
      <c r="D107" s="4" t="s">
        <v>425</v>
      </c>
      <c r="E107" s="55" t="s">
        <v>2</v>
      </c>
      <c r="F107" s="47">
        <v>1229138.19</v>
      </c>
      <c r="G107" s="4">
        <v>0</v>
      </c>
      <c r="H107" s="26">
        <f t="shared" si="2"/>
        <v>0</v>
      </c>
    </row>
    <row r="108" spans="1:8" ht="12" customHeight="1" x14ac:dyDescent="0.3">
      <c r="A108" s="3">
        <v>106</v>
      </c>
      <c r="B108" s="4" t="s">
        <v>326</v>
      </c>
      <c r="C108" s="55">
        <v>501024121</v>
      </c>
      <c r="D108" s="4" t="s">
        <v>426</v>
      </c>
      <c r="E108" s="55" t="s">
        <v>2</v>
      </c>
      <c r="F108" s="47">
        <v>1768380.17</v>
      </c>
      <c r="G108" s="4">
        <v>0</v>
      </c>
      <c r="H108" s="26">
        <f t="shared" si="2"/>
        <v>0</v>
      </c>
    </row>
    <row r="109" spans="1:8" x14ac:dyDescent="0.3">
      <c r="A109" s="3">
        <v>107</v>
      </c>
      <c r="B109" s="4" t="s">
        <v>326</v>
      </c>
      <c r="C109" s="55">
        <v>501024221</v>
      </c>
      <c r="D109" s="4" t="s">
        <v>427</v>
      </c>
      <c r="E109" s="55" t="s">
        <v>2</v>
      </c>
      <c r="F109" s="47">
        <v>2179818.59</v>
      </c>
      <c r="G109" s="4">
        <v>0</v>
      </c>
      <c r="H109" s="26">
        <f t="shared" si="2"/>
        <v>0</v>
      </c>
    </row>
    <row r="110" spans="1:8" x14ac:dyDescent="0.3">
      <c r="A110" s="3">
        <v>108</v>
      </c>
      <c r="B110" s="4" t="s">
        <v>326</v>
      </c>
      <c r="C110" s="55">
        <v>501024521</v>
      </c>
      <c r="D110" s="4" t="s">
        <v>428</v>
      </c>
      <c r="E110" s="55" t="s">
        <v>2</v>
      </c>
      <c r="F110" s="22">
        <v>603950.72</v>
      </c>
      <c r="G110" s="20">
        <v>0</v>
      </c>
      <c r="H110" s="48">
        <f t="shared" si="2"/>
        <v>0</v>
      </c>
    </row>
    <row r="111" spans="1:8" x14ac:dyDescent="0.3">
      <c r="A111" s="3">
        <v>109</v>
      </c>
      <c r="B111" s="4" t="s">
        <v>326</v>
      </c>
      <c r="C111" s="55">
        <v>501024621</v>
      </c>
      <c r="D111" s="4" t="s">
        <v>429</v>
      </c>
      <c r="E111" s="55" t="s">
        <v>9</v>
      </c>
      <c r="F111" s="22">
        <v>763284.61</v>
      </c>
      <c r="G111" s="20">
        <v>0</v>
      </c>
      <c r="H111" s="48">
        <f t="shared" si="2"/>
        <v>0</v>
      </c>
    </row>
    <row r="112" spans="1:8" x14ac:dyDescent="0.3">
      <c r="A112" s="3">
        <v>110</v>
      </c>
      <c r="B112" s="4" t="s">
        <v>326</v>
      </c>
      <c r="C112" s="55">
        <v>501025421</v>
      </c>
      <c r="D112" s="4" t="s">
        <v>430</v>
      </c>
      <c r="E112" s="55" t="s">
        <v>2</v>
      </c>
      <c r="F112" s="49">
        <v>2083227.79</v>
      </c>
      <c r="G112" s="4">
        <v>0</v>
      </c>
      <c r="H112" s="26">
        <f t="shared" si="2"/>
        <v>0</v>
      </c>
    </row>
    <row r="113" spans="1:8" x14ac:dyDescent="0.3">
      <c r="A113" s="3">
        <v>111</v>
      </c>
      <c r="B113" s="4" t="s">
        <v>326</v>
      </c>
      <c r="C113" s="55">
        <v>501024921</v>
      </c>
      <c r="D113" s="4" t="s">
        <v>431</v>
      </c>
      <c r="E113" s="55" t="s">
        <v>2</v>
      </c>
      <c r="F113" s="49">
        <v>2390241.81</v>
      </c>
      <c r="G113" s="4">
        <v>0</v>
      </c>
      <c r="H113" s="26">
        <f t="shared" si="2"/>
        <v>0</v>
      </c>
    </row>
    <row r="114" spans="1:8" x14ac:dyDescent="0.3">
      <c r="A114" s="3">
        <v>112</v>
      </c>
      <c r="B114" s="4" t="s">
        <v>326</v>
      </c>
      <c r="C114" s="55">
        <v>501025121</v>
      </c>
      <c r="D114" s="4" t="s">
        <v>432</v>
      </c>
      <c r="E114" s="55" t="s">
        <v>2</v>
      </c>
      <c r="F114" s="22">
        <v>2039007.39</v>
      </c>
      <c r="G114" s="20">
        <v>0</v>
      </c>
      <c r="H114" s="48">
        <f t="shared" si="2"/>
        <v>0</v>
      </c>
    </row>
    <row r="115" spans="1:8" x14ac:dyDescent="0.3">
      <c r="A115" s="3">
        <v>113</v>
      </c>
      <c r="B115" s="4" t="s">
        <v>326</v>
      </c>
      <c r="C115" s="55">
        <v>501025221</v>
      </c>
      <c r="D115" s="4" t="s">
        <v>433</v>
      </c>
      <c r="E115" s="55" t="s">
        <v>2</v>
      </c>
      <c r="F115" s="47">
        <v>2950761.2</v>
      </c>
      <c r="G115" s="4">
        <v>0</v>
      </c>
      <c r="H115" s="26">
        <f t="shared" si="2"/>
        <v>0</v>
      </c>
    </row>
    <row r="116" spans="1:8" x14ac:dyDescent="0.3">
      <c r="A116" s="3">
        <v>114</v>
      </c>
      <c r="B116" s="4" t="s">
        <v>326</v>
      </c>
      <c r="C116" s="55">
        <v>501030321</v>
      </c>
      <c r="D116" s="4" t="s">
        <v>434</v>
      </c>
      <c r="E116" s="55" t="s">
        <v>2</v>
      </c>
      <c r="F116" s="22">
        <v>160930.91</v>
      </c>
      <c r="G116" s="20">
        <v>0</v>
      </c>
      <c r="H116" s="48">
        <f t="shared" si="2"/>
        <v>0</v>
      </c>
    </row>
    <row r="117" spans="1:8" x14ac:dyDescent="0.3">
      <c r="A117" s="3">
        <v>115</v>
      </c>
      <c r="B117" s="4" t="s">
        <v>326</v>
      </c>
      <c r="C117" s="55">
        <v>501030421</v>
      </c>
      <c r="D117" s="4" t="s">
        <v>435</v>
      </c>
      <c r="E117" s="55" t="s">
        <v>2</v>
      </c>
      <c r="F117" s="47">
        <v>237394.49</v>
      </c>
      <c r="G117" s="4">
        <v>0</v>
      </c>
      <c r="H117" s="26">
        <f t="shared" si="2"/>
        <v>0</v>
      </c>
    </row>
    <row r="118" spans="1:8" x14ac:dyDescent="0.3">
      <c r="A118" s="3">
        <v>116</v>
      </c>
      <c r="B118" s="4" t="s">
        <v>326</v>
      </c>
      <c r="C118" s="55">
        <v>501030521</v>
      </c>
      <c r="D118" s="4" t="s">
        <v>436</v>
      </c>
      <c r="E118" s="55" t="s">
        <v>2</v>
      </c>
      <c r="F118" s="47">
        <v>315558.99</v>
      </c>
      <c r="G118" s="4">
        <v>0</v>
      </c>
      <c r="H118" s="26">
        <f t="shared" si="2"/>
        <v>0</v>
      </c>
    </row>
    <row r="119" spans="1:8" x14ac:dyDescent="0.3">
      <c r="A119" s="3">
        <v>117</v>
      </c>
      <c r="B119" s="4" t="s">
        <v>326</v>
      </c>
      <c r="C119" s="55">
        <v>501030621</v>
      </c>
      <c r="D119" s="4" t="s">
        <v>437</v>
      </c>
      <c r="E119" s="55" t="s">
        <v>2</v>
      </c>
      <c r="F119" s="22">
        <v>826924.19</v>
      </c>
      <c r="G119" s="20">
        <v>0</v>
      </c>
      <c r="H119" s="48">
        <f t="shared" si="2"/>
        <v>0</v>
      </c>
    </row>
    <row r="120" spans="1:8" s="23" customFormat="1" x14ac:dyDescent="0.3">
      <c r="A120" s="3">
        <v>118</v>
      </c>
      <c r="B120" s="4" t="s">
        <v>326</v>
      </c>
      <c r="C120" s="55">
        <v>501031121</v>
      </c>
      <c r="D120" s="4" t="s">
        <v>741</v>
      </c>
      <c r="E120" s="55" t="s">
        <v>2</v>
      </c>
      <c r="F120" s="25">
        <v>826924.19</v>
      </c>
      <c r="G120" s="4">
        <v>0</v>
      </c>
      <c r="H120" s="26">
        <f t="shared" si="2"/>
        <v>0</v>
      </c>
    </row>
    <row r="121" spans="1:8" s="23" customFormat="1" x14ac:dyDescent="0.3">
      <c r="A121" s="3">
        <v>119</v>
      </c>
      <c r="B121" s="4" t="s">
        <v>326</v>
      </c>
      <c r="C121" s="55">
        <v>504022941</v>
      </c>
      <c r="D121" s="4" t="s">
        <v>438</v>
      </c>
      <c r="E121" s="55" t="s">
        <v>9</v>
      </c>
      <c r="F121" s="22">
        <v>949.67</v>
      </c>
      <c r="G121" s="20">
        <v>0</v>
      </c>
      <c r="H121" s="48">
        <f t="shared" si="2"/>
        <v>0</v>
      </c>
    </row>
    <row r="122" spans="1:8" s="27" customFormat="1" x14ac:dyDescent="0.3">
      <c r="A122" s="3">
        <v>120</v>
      </c>
      <c r="B122" s="4" t="s">
        <v>326</v>
      </c>
      <c r="C122" s="55">
        <v>504026741</v>
      </c>
      <c r="D122" s="4" t="s">
        <v>439</v>
      </c>
      <c r="E122" s="55" t="s">
        <v>9</v>
      </c>
      <c r="F122" s="25">
        <v>117.42</v>
      </c>
      <c r="G122" s="4">
        <v>0</v>
      </c>
      <c r="H122" s="26">
        <f t="shared" si="2"/>
        <v>0</v>
      </c>
    </row>
    <row r="123" spans="1:8" s="27" customFormat="1" x14ac:dyDescent="0.3">
      <c r="A123" s="3">
        <v>121</v>
      </c>
      <c r="B123" s="4"/>
      <c r="C123" s="55">
        <v>504026941</v>
      </c>
      <c r="D123" s="4" t="s">
        <v>739</v>
      </c>
      <c r="E123" s="55" t="s">
        <v>9</v>
      </c>
      <c r="F123" s="25">
        <v>95.09</v>
      </c>
      <c r="G123" s="4">
        <v>0</v>
      </c>
      <c r="H123" s="26">
        <f t="shared" si="2"/>
        <v>0</v>
      </c>
    </row>
    <row r="124" spans="1:8" s="27" customFormat="1" x14ac:dyDescent="0.3">
      <c r="A124" s="3">
        <v>122</v>
      </c>
      <c r="B124" s="4" t="s">
        <v>326</v>
      </c>
      <c r="C124" s="55">
        <v>504027141</v>
      </c>
      <c r="D124" s="4" t="s">
        <v>740</v>
      </c>
      <c r="E124" s="55" t="s">
        <v>9</v>
      </c>
      <c r="F124" s="25">
        <v>149.16999999999999</v>
      </c>
      <c r="G124" s="4">
        <v>0</v>
      </c>
      <c r="H124" s="26">
        <f t="shared" si="2"/>
        <v>0</v>
      </c>
    </row>
    <row r="125" spans="1:8" s="27" customFormat="1" ht="27.6" x14ac:dyDescent="0.3">
      <c r="A125" s="3">
        <v>123</v>
      </c>
      <c r="B125" s="4" t="s">
        <v>326</v>
      </c>
      <c r="C125" s="3">
        <v>504027441</v>
      </c>
      <c r="D125" s="57" t="s">
        <v>440</v>
      </c>
      <c r="E125" s="3" t="s">
        <v>9</v>
      </c>
      <c r="F125" s="25">
        <v>167.19</v>
      </c>
      <c r="G125" s="4">
        <v>0</v>
      </c>
      <c r="H125" s="26">
        <f t="shared" si="2"/>
        <v>0</v>
      </c>
    </row>
    <row r="126" spans="1:8" s="27" customFormat="1" ht="27.6" x14ac:dyDescent="0.3">
      <c r="A126" s="3">
        <v>124</v>
      </c>
      <c r="B126" s="4" t="s">
        <v>326</v>
      </c>
      <c r="C126" s="3">
        <v>504027541</v>
      </c>
      <c r="D126" s="57" t="s">
        <v>441</v>
      </c>
      <c r="E126" s="3" t="s">
        <v>9</v>
      </c>
      <c r="F126" s="25">
        <v>179.32</v>
      </c>
      <c r="G126" s="4">
        <v>0</v>
      </c>
      <c r="H126" s="26">
        <f t="shared" si="2"/>
        <v>0</v>
      </c>
    </row>
    <row r="127" spans="1:8" s="27" customFormat="1" x14ac:dyDescent="0.3">
      <c r="A127" s="3">
        <v>125</v>
      </c>
      <c r="B127" s="4" t="s">
        <v>326</v>
      </c>
      <c r="C127" s="55">
        <v>504027741</v>
      </c>
      <c r="D127" s="4" t="s">
        <v>442</v>
      </c>
      <c r="E127" s="55" t="s">
        <v>9</v>
      </c>
      <c r="F127" s="25">
        <v>180</v>
      </c>
      <c r="G127" s="4">
        <v>0</v>
      </c>
      <c r="H127" s="26">
        <f t="shared" si="2"/>
        <v>0</v>
      </c>
    </row>
    <row r="128" spans="1:8" s="27" customFormat="1" x14ac:dyDescent="0.3">
      <c r="A128" s="3">
        <v>126</v>
      </c>
      <c r="B128" s="4" t="s">
        <v>326</v>
      </c>
      <c r="C128" s="55">
        <v>504060941</v>
      </c>
      <c r="D128" s="58" t="s">
        <v>604</v>
      </c>
      <c r="E128" s="55" t="s">
        <v>9</v>
      </c>
      <c r="F128" s="25">
        <v>1489.9</v>
      </c>
      <c r="G128" s="4">
        <v>0</v>
      </c>
      <c r="H128" s="26">
        <f t="shared" si="2"/>
        <v>0</v>
      </c>
    </row>
    <row r="129" spans="1:8" s="27" customFormat="1" x14ac:dyDescent="0.3">
      <c r="A129" s="3">
        <v>127</v>
      </c>
      <c r="B129" s="4" t="s">
        <v>326</v>
      </c>
      <c r="C129" s="55">
        <v>504140641</v>
      </c>
      <c r="D129" s="4" t="s">
        <v>443</v>
      </c>
      <c r="E129" s="55" t="s">
        <v>9</v>
      </c>
      <c r="F129" s="25">
        <v>17.21</v>
      </c>
      <c r="G129" s="4">
        <v>0</v>
      </c>
      <c r="H129" s="26">
        <f t="shared" si="2"/>
        <v>0</v>
      </c>
    </row>
    <row r="130" spans="1:8" s="27" customFormat="1" x14ac:dyDescent="0.3">
      <c r="A130" s="3">
        <v>128</v>
      </c>
      <c r="B130" s="4" t="s">
        <v>326</v>
      </c>
      <c r="C130" s="55">
        <v>504151441</v>
      </c>
      <c r="D130" s="4" t="s">
        <v>444</v>
      </c>
      <c r="E130" s="55" t="s">
        <v>9</v>
      </c>
      <c r="F130" s="25">
        <v>7.96</v>
      </c>
      <c r="G130" s="4">
        <v>0</v>
      </c>
      <c r="H130" s="26">
        <f t="shared" si="2"/>
        <v>0</v>
      </c>
    </row>
    <row r="131" spans="1:8" s="27" customFormat="1" x14ac:dyDescent="0.3">
      <c r="A131" s="3">
        <v>129</v>
      </c>
      <c r="B131" s="4" t="s">
        <v>326</v>
      </c>
      <c r="C131" s="55">
        <v>504038541</v>
      </c>
      <c r="D131" s="4" t="s">
        <v>445</v>
      </c>
      <c r="E131" s="55" t="s">
        <v>9</v>
      </c>
      <c r="F131" s="22">
        <v>5214.5</v>
      </c>
      <c r="G131" s="20">
        <v>0</v>
      </c>
      <c r="H131" s="48">
        <f t="shared" si="2"/>
        <v>0</v>
      </c>
    </row>
    <row r="132" spans="1:8" s="23" customFormat="1" x14ac:dyDescent="0.3">
      <c r="A132" s="3">
        <v>130</v>
      </c>
      <c r="B132" s="4" t="s">
        <v>326</v>
      </c>
      <c r="C132" s="55">
        <v>504053241</v>
      </c>
      <c r="D132" s="4" t="s">
        <v>446</v>
      </c>
      <c r="E132" s="55" t="s">
        <v>9</v>
      </c>
      <c r="F132" s="22">
        <v>2763.87</v>
      </c>
      <c r="G132" s="20">
        <v>0</v>
      </c>
      <c r="H132" s="48">
        <f t="shared" si="2"/>
        <v>0</v>
      </c>
    </row>
    <row r="133" spans="1:8" s="23" customFormat="1" x14ac:dyDescent="0.3">
      <c r="A133" s="3">
        <v>131</v>
      </c>
      <c r="B133" s="4" t="s">
        <v>326</v>
      </c>
      <c r="C133" s="55">
        <v>504053441</v>
      </c>
      <c r="D133" s="4" t="s">
        <v>447</v>
      </c>
      <c r="E133" s="55" t="s">
        <v>9</v>
      </c>
      <c r="F133" s="22">
        <v>7296.09</v>
      </c>
      <c r="G133" s="20">
        <v>0</v>
      </c>
      <c r="H133" s="48">
        <f t="shared" si="2"/>
        <v>0</v>
      </c>
    </row>
    <row r="134" spans="1:8" s="27" customFormat="1" x14ac:dyDescent="0.3">
      <c r="A134" s="3">
        <v>132</v>
      </c>
      <c r="B134" s="4" t="s">
        <v>326</v>
      </c>
      <c r="C134" s="55">
        <v>505036541</v>
      </c>
      <c r="D134" s="4" t="s">
        <v>729</v>
      </c>
      <c r="E134" s="55" t="s">
        <v>9</v>
      </c>
      <c r="F134" s="25">
        <v>156.62</v>
      </c>
      <c r="G134" s="4">
        <v>0</v>
      </c>
      <c r="H134" s="26">
        <f t="shared" si="2"/>
        <v>0</v>
      </c>
    </row>
    <row r="135" spans="1:8" s="27" customFormat="1" x14ac:dyDescent="0.3">
      <c r="A135" s="3">
        <v>133</v>
      </c>
      <c r="B135" s="4" t="s">
        <v>326</v>
      </c>
      <c r="C135" s="55">
        <v>505030841</v>
      </c>
      <c r="D135" s="4" t="s">
        <v>448</v>
      </c>
      <c r="E135" s="55" t="s">
        <v>9</v>
      </c>
      <c r="F135" s="25">
        <v>110.64</v>
      </c>
      <c r="G135" s="4">
        <v>0</v>
      </c>
      <c r="H135" s="26">
        <f t="shared" si="2"/>
        <v>0</v>
      </c>
    </row>
    <row r="136" spans="1:8" s="27" customFormat="1" x14ac:dyDescent="0.3">
      <c r="A136" s="3">
        <v>134</v>
      </c>
      <c r="B136" s="4" t="s">
        <v>326</v>
      </c>
      <c r="C136" s="55">
        <v>505034941</v>
      </c>
      <c r="D136" s="4" t="s">
        <v>449</v>
      </c>
      <c r="E136" s="55" t="s">
        <v>9</v>
      </c>
      <c r="F136" s="25">
        <v>190</v>
      </c>
      <c r="G136" s="4">
        <v>0</v>
      </c>
      <c r="H136" s="26">
        <f t="shared" si="2"/>
        <v>0</v>
      </c>
    </row>
    <row r="137" spans="1:8" s="27" customFormat="1" x14ac:dyDescent="0.3">
      <c r="A137" s="3">
        <v>135</v>
      </c>
      <c r="B137" s="4" t="s">
        <v>326</v>
      </c>
      <c r="C137" s="55">
        <v>505030341</v>
      </c>
      <c r="D137" s="4" t="s">
        <v>450</v>
      </c>
      <c r="E137" s="55" t="s">
        <v>9</v>
      </c>
      <c r="F137" s="25">
        <v>449.46</v>
      </c>
      <c r="G137" s="4">
        <v>0</v>
      </c>
      <c r="H137" s="26">
        <f t="shared" si="2"/>
        <v>0</v>
      </c>
    </row>
    <row r="138" spans="1:8" s="27" customFormat="1" x14ac:dyDescent="0.3">
      <c r="A138" s="3">
        <v>136</v>
      </c>
      <c r="B138" s="4" t="s">
        <v>326</v>
      </c>
      <c r="C138" s="55">
        <v>505030241</v>
      </c>
      <c r="D138" s="4" t="s">
        <v>451</v>
      </c>
      <c r="E138" s="55" t="s">
        <v>9</v>
      </c>
      <c r="F138" s="25">
        <v>416.03</v>
      </c>
      <c r="G138" s="4">
        <v>0</v>
      </c>
      <c r="H138" s="26">
        <f t="shared" si="2"/>
        <v>0</v>
      </c>
    </row>
    <row r="139" spans="1:8" s="27" customFormat="1" x14ac:dyDescent="0.3">
      <c r="A139" s="3">
        <v>137</v>
      </c>
      <c r="B139" s="4" t="s">
        <v>326</v>
      </c>
      <c r="C139" s="55">
        <v>505030641</v>
      </c>
      <c r="D139" s="4" t="s">
        <v>727</v>
      </c>
      <c r="E139" s="55" t="s">
        <v>9</v>
      </c>
      <c r="F139" s="25">
        <v>367.62</v>
      </c>
      <c r="G139" s="4">
        <v>0</v>
      </c>
      <c r="H139" s="26">
        <f t="shared" si="2"/>
        <v>0</v>
      </c>
    </row>
    <row r="140" spans="1:8" s="27" customFormat="1" x14ac:dyDescent="0.3">
      <c r="A140" s="3">
        <v>138</v>
      </c>
      <c r="B140" s="4" t="s">
        <v>326</v>
      </c>
      <c r="C140" s="55">
        <v>505034141</v>
      </c>
      <c r="D140" s="4" t="s">
        <v>730</v>
      </c>
      <c r="E140" s="55" t="s">
        <v>9</v>
      </c>
      <c r="F140" s="25">
        <v>389.66</v>
      </c>
      <c r="G140" s="4">
        <v>0</v>
      </c>
      <c r="H140" s="26">
        <f t="shared" si="2"/>
        <v>0</v>
      </c>
    </row>
    <row r="141" spans="1:8" s="23" customFormat="1" x14ac:dyDescent="0.3">
      <c r="A141" s="3">
        <v>139</v>
      </c>
      <c r="B141" s="4" t="s">
        <v>326</v>
      </c>
      <c r="C141" s="55">
        <v>504023041</v>
      </c>
      <c r="D141" s="4" t="s">
        <v>452</v>
      </c>
      <c r="E141" s="55" t="s">
        <v>9</v>
      </c>
      <c r="F141" s="22">
        <v>785.93</v>
      </c>
      <c r="G141" s="20">
        <v>0</v>
      </c>
      <c r="H141" s="48">
        <f t="shared" si="2"/>
        <v>0</v>
      </c>
    </row>
    <row r="142" spans="1:8" x14ac:dyDescent="0.3">
      <c r="A142" s="3">
        <v>140</v>
      </c>
      <c r="B142" s="4" t="s">
        <v>326</v>
      </c>
      <c r="C142" s="55">
        <v>501041121</v>
      </c>
      <c r="D142" s="4" t="s">
        <v>453</v>
      </c>
      <c r="E142" s="55" t="s">
        <v>2</v>
      </c>
      <c r="F142" s="47">
        <v>420547.33</v>
      </c>
      <c r="G142" s="4">
        <v>0</v>
      </c>
      <c r="H142" s="26">
        <f t="shared" ref="H142:H207" si="4">ROUND(F142*G142,2)</f>
        <v>0</v>
      </c>
    </row>
    <row r="143" spans="1:8" x14ac:dyDescent="0.3">
      <c r="A143" s="3">
        <v>141</v>
      </c>
      <c r="B143" s="4" t="s">
        <v>326</v>
      </c>
      <c r="C143" s="55">
        <v>501041021</v>
      </c>
      <c r="D143" s="4" t="s">
        <v>454</v>
      </c>
      <c r="E143" s="55" t="s">
        <v>2</v>
      </c>
      <c r="F143" s="47">
        <v>281825.12</v>
      </c>
      <c r="G143" s="4">
        <v>0</v>
      </c>
      <c r="H143" s="26">
        <f t="shared" si="4"/>
        <v>0</v>
      </c>
    </row>
    <row r="144" spans="1:8" x14ac:dyDescent="0.3">
      <c r="A144" s="3">
        <v>142</v>
      </c>
      <c r="B144" s="4" t="s">
        <v>326</v>
      </c>
      <c r="C144" s="55">
        <v>501040721</v>
      </c>
      <c r="D144" s="4" t="s">
        <v>455</v>
      </c>
      <c r="E144" s="55" t="s">
        <v>2</v>
      </c>
      <c r="F144" s="47">
        <v>157705.25</v>
      </c>
      <c r="G144" s="4">
        <v>0</v>
      </c>
      <c r="H144" s="26">
        <f t="shared" si="4"/>
        <v>0</v>
      </c>
    </row>
    <row r="145" spans="1:8" x14ac:dyDescent="0.3">
      <c r="A145" s="3">
        <v>143</v>
      </c>
      <c r="B145" s="4" t="s">
        <v>326</v>
      </c>
      <c r="C145" s="55">
        <v>301010541</v>
      </c>
      <c r="D145" s="4" t="s">
        <v>456</v>
      </c>
      <c r="E145" s="55" t="s">
        <v>9</v>
      </c>
      <c r="F145" s="22">
        <v>33410.199999999997</v>
      </c>
      <c r="G145" s="20">
        <v>0</v>
      </c>
      <c r="H145" s="48">
        <f t="shared" si="4"/>
        <v>0</v>
      </c>
    </row>
    <row r="146" spans="1:8" x14ac:dyDescent="0.3">
      <c r="A146" s="3">
        <v>144</v>
      </c>
      <c r="B146" s="4" t="s">
        <v>326</v>
      </c>
      <c r="C146" s="55">
        <v>301011041</v>
      </c>
      <c r="D146" s="4" t="s">
        <v>457</v>
      </c>
      <c r="E146" s="55" t="s">
        <v>9</v>
      </c>
      <c r="F146" s="5">
        <v>89547.19</v>
      </c>
      <c r="G146" s="4">
        <v>0</v>
      </c>
      <c r="H146" s="26">
        <f t="shared" si="4"/>
        <v>0</v>
      </c>
    </row>
    <row r="147" spans="1:8" x14ac:dyDescent="0.3">
      <c r="A147" s="3">
        <v>145</v>
      </c>
      <c r="B147" s="4" t="s">
        <v>326</v>
      </c>
      <c r="C147" s="55">
        <v>301018141</v>
      </c>
      <c r="D147" s="4" t="s">
        <v>458</v>
      </c>
      <c r="E147" s="55" t="s">
        <v>9</v>
      </c>
      <c r="F147" s="25">
        <v>103528.11</v>
      </c>
      <c r="G147" s="21">
        <v>0</v>
      </c>
      <c r="H147" s="26">
        <f t="shared" si="4"/>
        <v>0</v>
      </c>
    </row>
    <row r="148" spans="1:8" x14ac:dyDescent="0.3">
      <c r="A148" s="3">
        <v>146</v>
      </c>
      <c r="B148" s="4" t="s">
        <v>326</v>
      </c>
      <c r="C148" s="55">
        <v>301018241</v>
      </c>
      <c r="D148" s="4" t="s">
        <v>459</v>
      </c>
      <c r="E148" s="55" t="s">
        <v>9</v>
      </c>
      <c r="F148" s="47">
        <v>197568.41</v>
      </c>
      <c r="G148" s="4">
        <v>0</v>
      </c>
      <c r="H148" s="26">
        <f t="shared" si="4"/>
        <v>0</v>
      </c>
    </row>
    <row r="149" spans="1:8" x14ac:dyDescent="0.3">
      <c r="A149" s="3">
        <v>147</v>
      </c>
      <c r="B149" s="4" t="s">
        <v>326</v>
      </c>
      <c r="C149" s="55">
        <v>301018341</v>
      </c>
      <c r="D149" s="4" t="s">
        <v>460</v>
      </c>
      <c r="E149" s="55" t="s">
        <v>9</v>
      </c>
      <c r="F149" s="47">
        <v>248239.75</v>
      </c>
      <c r="G149" s="4">
        <v>0</v>
      </c>
      <c r="H149" s="26">
        <f t="shared" si="4"/>
        <v>0</v>
      </c>
    </row>
    <row r="150" spans="1:8" x14ac:dyDescent="0.3">
      <c r="A150" s="3">
        <v>148</v>
      </c>
      <c r="B150" s="4" t="s">
        <v>326</v>
      </c>
      <c r="C150" s="55">
        <v>301018741</v>
      </c>
      <c r="D150" s="4" t="s">
        <v>461</v>
      </c>
      <c r="E150" s="55" t="s">
        <v>9</v>
      </c>
      <c r="F150" s="47">
        <v>318579.7</v>
      </c>
      <c r="G150" s="4">
        <v>0</v>
      </c>
      <c r="H150" s="26">
        <f t="shared" si="4"/>
        <v>0</v>
      </c>
    </row>
    <row r="151" spans="1:8" x14ac:dyDescent="0.3">
      <c r="A151" s="3">
        <v>149</v>
      </c>
      <c r="B151" s="4" t="s">
        <v>326</v>
      </c>
      <c r="C151" s="55">
        <v>301019641</v>
      </c>
      <c r="D151" s="4" t="s">
        <v>703</v>
      </c>
      <c r="E151" s="55" t="s">
        <v>9</v>
      </c>
      <c r="F151" s="25">
        <v>674147.87</v>
      </c>
      <c r="G151" s="21">
        <v>0</v>
      </c>
      <c r="H151" s="26">
        <f t="shared" si="4"/>
        <v>0</v>
      </c>
    </row>
    <row r="152" spans="1:8" x14ac:dyDescent="0.3">
      <c r="A152" s="3">
        <v>150</v>
      </c>
      <c r="B152" s="4" t="s">
        <v>326</v>
      </c>
      <c r="C152" s="55">
        <v>301019041</v>
      </c>
      <c r="D152" s="4" t="s">
        <v>462</v>
      </c>
      <c r="E152" s="55" t="s">
        <v>9</v>
      </c>
      <c r="F152" s="50">
        <v>987447.23</v>
      </c>
      <c r="G152" s="4">
        <v>0</v>
      </c>
      <c r="H152" s="26">
        <f t="shared" si="4"/>
        <v>0</v>
      </c>
    </row>
    <row r="153" spans="1:8" x14ac:dyDescent="0.3">
      <c r="A153" s="3">
        <v>151</v>
      </c>
      <c r="B153" s="4" t="s">
        <v>326</v>
      </c>
      <c r="C153" s="55">
        <v>301019141</v>
      </c>
      <c r="D153" s="4" t="s">
        <v>463</v>
      </c>
      <c r="E153" s="55" t="s">
        <v>9</v>
      </c>
      <c r="F153" s="50">
        <v>985286.54</v>
      </c>
      <c r="G153" s="4">
        <v>0</v>
      </c>
      <c r="H153" s="26">
        <f t="shared" si="4"/>
        <v>0</v>
      </c>
    </row>
    <row r="154" spans="1:8" x14ac:dyDescent="0.3">
      <c r="A154" s="3">
        <v>152</v>
      </c>
      <c r="B154" s="4" t="s">
        <v>326</v>
      </c>
      <c r="C154" s="55">
        <v>301019341</v>
      </c>
      <c r="D154" s="4" t="s">
        <v>763</v>
      </c>
      <c r="E154" s="55" t="s">
        <v>9</v>
      </c>
      <c r="F154" s="25">
        <v>1843342.08</v>
      </c>
      <c r="G154" s="21">
        <v>0</v>
      </c>
      <c r="H154" s="26">
        <f t="shared" si="4"/>
        <v>0</v>
      </c>
    </row>
    <row r="155" spans="1:8" x14ac:dyDescent="0.3">
      <c r="A155" s="3">
        <v>153</v>
      </c>
      <c r="B155" s="4" t="s">
        <v>326</v>
      </c>
      <c r="C155" s="55">
        <v>301019541</v>
      </c>
      <c r="D155" s="4" t="s">
        <v>465</v>
      </c>
      <c r="E155" s="55" t="s">
        <v>9</v>
      </c>
      <c r="F155" s="25">
        <v>3505551.1</v>
      </c>
      <c r="G155" s="21">
        <v>0</v>
      </c>
      <c r="H155" s="26">
        <f t="shared" si="4"/>
        <v>0</v>
      </c>
    </row>
    <row r="156" spans="1:8" x14ac:dyDescent="0.3">
      <c r="A156" s="3"/>
      <c r="B156" s="4" t="s">
        <v>326</v>
      </c>
      <c r="C156" s="55">
        <v>301019441</v>
      </c>
      <c r="D156" s="4" t="s">
        <v>464</v>
      </c>
      <c r="E156" s="55" t="s">
        <v>9</v>
      </c>
      <c r="F156" s="25">
        <v>3505551.1</v>
      </c>
      <c r="G156" s="21">
        <v>0</v>
      </c>
      <c r="H156" s="26">
        <f t="shared" si="4"/>
        <v>0</v>
      </c>
    </row>
    <row r="157" spans="1:8" x14ac:dyDescent="0.3">
      <c r="A157" s="3">
        <v>154</v>
      </c>
      <c r="B157" s="4" t="s">
        <v>326</v>
      </c>
      <c r="C157" s="55">
        <v>301017041</v>
      </c>
      <c r="D157" s="4" t="s">
        <v>466</v>
      </c>
      <c r="E157" s="55" t="s">
        <v>9</v>
      </c>
      <c r="F157" s="22">
        <v>1254940.32</v>
      </c>
      <c r="G157" s="20">
        <v>0</v>
      </c>
      <c r="H157" s="48">
        <f t="shared" si="4"/>
        <v>0</v>
      </c>
    </row>
    <row r="158" spans="1:8" x14ac:dyDescent="0.3">
      <c r="A158" s="3">
        <v>155</v>
      </c>
      <c r="B158" s="4" t="s">
        <v>326</v>
      </c>
      <c r="C158" s="55">
        <v>301017241</v>
      </c>
      <c r="D158" s="4" t="s">
        <v>467</v>
      </c>
      <c r="E158" s="55" t="s">
        <v>9</v>
      </c>
      <c r="F158" s="22">
        <v>1313085.68</v>
      </c>
      <c r="G158" s="20">
        <v>0</v>
      </c>
      <c r="H158" s="48">
        <f t="shared" si="4"/>
        <v>0</v>
      </c>
    </row>
    <row r="159" spans="1:8" s="23" customFormat="1" x14ac:dyDescent="0.3">
      <c r="A159" s="3">
        <v>156</v>
      </c>
      <c r="B159" s="4" t="s">
        <v>326</v>
      </c>
      <c r="C159" s="55">
        <v>31020941</v>
      </c>
      <c r="D159" s="4" t="s">
        <v>468</v>
      </c>
      <c r="E159" s="55" t="s">
        <v>9</v>
      </c>
      <c r="F159" s="24">
        <v>4513755.9800000004</v>
      </c>
      <c r="G159" s="20">
        <v>0</v>
      </c>
      <c r="H159" s="48">
        <f t="shared" si="4"/>
        <v>0</v>
      </c>
    </row>
    <row r="160" spans="1:8" s="23" customFormat="1" x14ac:dyDescent="0.3">
      <c r="A160" s="3">
        <v>157</v>
      </c>
      <c r="B160" s="4" t="s">
        <v>326</v>
      </c>
      <c r="C160" s="55">
        <v>301021241</v>
      </c>
      <c r="D160" s="4" t="s">
        <v>469</v>
      </c>
      <c r="E160" s="55" t="s">
        <v>9</v>
      </c>
      <c r="F160" s="51">
        <v>11415656.07</v>
      </c>
      <c r="G160" s="4">
        <v>0</v>
      </c>
      <c r="H160" s="26">
        <f t="shared" si="4"/>
        <v>0</v>
      </c>
    </row>
    <row r="161" spans="1:8" s="23" customFormat="1" x14ac:dyDescent="0.3">
      <c r="A161" s="3">
        <v>158</v>
      </c>
      <c r="B161" s="4" t="s">
        <v>326</v>
      </c>
      <c r="C161" s="55">
        <v>301022041</v>
      </c>
      <c r="D161" s="4" t="s">
        <v>470</v>
      </c>
      <c r="E161" s="55" t="s">
        <v>9</v>
      </c>
      <c r="F161" s="51">
        <v>89074.27</v>
      </c>
      <c r="G161" s="4">
        <v>0</v>
      </c>
      <c r="H161" s="26">
        <f t="shared" si="4"/>
        <v>0</v>
      </c>
    </row>
    <row r="162" spans="1:8" s="23" customFormat="1" x14ac:dyDescent="0.3">
      <c r="A162" s="3">
        <v>159</v>
      </c>
      <c r="B162" s="4" t="s">
        <v>326</v>
      </c>
      <c r="C162" s="55">
        <v>301021541</v>
      </c>
      <c r="D162" s="4" t="s">
        <v>471</v>
      </c>
      <c r="E162" s="55" t="s">
        <v>9</v>
      </c>
      <c r="F162" s="22">
        <v>8838612.6400000006</v>
      </c>
      <c r="G162" s="20">
        <v>0</v>
      </c>
      <c r="H162" s="48">
        <f t="shared" si="4"/>
        <v>0</v>
      </c>
    </row>
    <row r="163" spans="1:8" s="23" customFormat="1" x14ac:dyDescent="0.3">
      <c r="A163" s="3">
        <v>160</v>
      </c>
      <c r="B163" s="4" t="s">
        <v>326</v>
      </c>
      <c r="C163" s="55">
        <v>301022141</v>
      </c>
      <c r="D163" s="4" t="s">
        <v>472</v>
      </c>
      <c r="E163" s="55" t="s">
        <v>9</v>
      </c>
      <c r="F163" s="25">
        <v>89074.27</v>
      </c>
      <c r="G163" s="4">
        <v>0</v>
      </c>
      <c r="H163" s="26">
        <f t="shared" si="4"/>
        <v>0</v>
      </c>
    </row>
    <row r="164" spans="1:8" s="23" customFormat="1" x14ac:dyDescent="0.3">
      <c r="A164" s="3">
        <v>161</v>
      </c>
      <c r="B164" s="4" t="s">
        <v>326</v>
      </c>
      <c r="C164" s="55">
        <v>301080341</v>
      </c>
      <c r="D164" s="4" t="s">
        <v>473</v>
      </c>
      <c r="E164" s="55" t="s">
        <v>9</v>
      </c>
      <c r="F164" s="22">
        <v>396801.07</v>
      </c>
      <c r="G164" s="20">
        <v>0</v>
      </c>
      <c r="H164" s="48">
        <f t="shared" si="4"/>
        <v>0</v>
      </c>
    </row>
    <row r="165" spans="1:8" s="23" customFormat="1" x14ac:dyDescent="0.3">
      <c r="A165" s="3">
        <v>162</v>
      </c>
      <c r="B165" s="4" t="s">
        <v>326</v>
      </c>
      <c r="C165" s="55">
        <v>908010252</v>
      </c>
      <c r="D165" s="4" t="s">
        <v>474</v>
      </c>
      <c r="E165" s="55" t="s">
        <v>321</v>
      </c>
      <c r="F165" s="25">
        <v>127665.28</v>
      </c>
      <c r="G165" s="21">
        <v>0</v>
      </c>
      <c r="H165" s="26">
        <f t="shared" si="4"/>
        <v>0</v>
      </c>
    </row>
    <row r="166" spans="1:8" s="23" customFormat="1" x14ac:dyDescent="0.3">
      <c r="A166" s="3">
        <v>163</v>
      </c>
      <c r="B166" s="4" t="s">
        <v>326</v>
      </c>
      <c r="C166" s="55">
        <v>901020932</v>
      </c>
      <c r="D166" s="4" t="s">
        <v>475</v>
      </c>
      <c r="E166" s="55" t="s">
        <v>369</v>
      </c>
      <c r="F166" s="22">
        <v>113945.66</v>
      </c>
      <c r="G166" s="20">
        <v>0</v>
      </c>
      <c r="H166" s="48">
        <f t="shared" si="4"/>
        <v>0</v>
      </c>
    </row>
    <row r="167" spans="1:8" s="23" customFormat="1" x14ac:dyDescent="0.3">
      <c r="A167" s="3">
        <v>164</v>
      </c>
      <c r="B167" s="4" t="s">
        <v>326</v>
      </c>
      <c r="C167" s="55">
        <v>901031141</v>
      </c>
      <c r="D167" s="4" t="s">
        <v>476</v>
      </c>
      <c r="E167" s="55" t="s">
        <v>369</v>
      </c>
      <c r="F167" s="22">
        <v>76387.399999999994</v>
      </c>
      <c r="G167" s="20">
        <v>0</v>
      </c>
      <c r="H167" s="48">
        <f t="shared" si="4"/>
        <v>0</v>
      </c>
    </row>
    <row r="168" spans="1:8" s="23" customFormat="1" x14ac:dyDescent="0.3">
      <c r="A168" s="3">
        <v>165</v>
      </c>
      <c r="B168" s="4" t="s">
        <v>326</v>
      </c>
      <c r="C168" s="55">
        <v>906010232</v>
      </c>
      <c r="D168" s="4" t="s">
        <v>477</v>
      </c>
      <c r="E168" s="55" t="s">
        <v>369</v>
      </c>
      <c r="F168" s="22">
        <v>2396.14</v>
      </c>
      <c r="G168" s="20">
        <v>0</v>
      </c>
      <c r="H168" s="48">
        <f t="shared" si="4"/>
        <v>0</v>
      </c>
    </row>
    <row r="169" spans="1:8" s="23" customFormat="1" x14ac:dyDescent="0.3">
      <c r="A169" s="3">
        <v>166</v>
      </c>
      <c r="B169" s="4" t="s">
        <v>326</v>
      </c>
      <c r="C169" s="55">
        <v>901021132</v>
      </c>
      <c r="D169" s="4" t="s">
        <v>478</v>
      </c>
      <c r="E169" s="55" t="s">
        <v>369</v>
      </c>
      <c r="F169" s="22">
        <v>149454.26</v>
      </c>
      <c r="G169" s="20">
        <v>0</v>
      </c>
      <c r="H169" s="48">
        <f t="shared" si="4"/>
        <v>0</v>
      </c>
    </row>
    <row r="170" spans="1:8" s="23" customFormat="1" ht="27.6" x14ac:dyDescent="0.3">
      <c r="A170" s="3">
        <v>167</v>
      </c>
      <c r="B170" s="4" t="s">
        <v>326</v>
      </c>
      <c r="C170" s="55">
        <v>901031241</v>
      </c>
      <c r="D170" s="57" t="s">
        <v>479</v>
      </c>
      <c r="E170" s="55" t="s">
        <v>369</v>
      </c>
      <c r="F170" s="25">
        <v>113898.24000000001</v>
      </c>
      <c r="G170" s="4">
        <v>0</v>
      </c>
      <c r="H170" s="26">
        <f t="shared" si="4"/>
        <v>0</v>
      </c>
    </row>
    <row r="171" spans="1:8" s="23" customFormat="1" x14ac:dyDescent="0.3">
      <c r="A171" s="3">
        <v>168</v>
      </c>
      <c r="B171" s="4" t="s">
        <v>326</v>
      </c>
      <c r="C171" s="55">
        <v>301032241</v>
      </c>
      <c r="D171" s="4" t="s">
        <v>480</v>
      </c>
      <c r="E171" s="55" t="s">
        <v>9</v>
      </c>
      <c r="F171" s="25">
        <v>26649.27</v>
      </c>
      <c r="G171" s="21">
        <v>0</v>
      </c>
      <c r="H171" s="26">
        <f t="shared" si="4"/>
        <v>0</v>
      </c>
    </row>
    <row r="172" spans="1:8" s="23" customFormat="1" x14ac:dyDescent="0.3">
      <c r="A172" s="3">
        <v>169</v>
      </c>
      <c r="B172" s="4" t="s">
        <v>326</v>
      </c>
      <c r="C172" s="55">
        <v>301055941</v>
      </c>
      <c r="D172" s="4" t="s">
        <v>481</v>
      </c>
      <c r="E172" s="55" t="s">
        <v>9</v>
      </c>
      <c r="F172" s="22">
        <v>26071.24</v>
      </c>
      <c r="G172" s="20">
        <v>0</v>
      </c>
      <c r="H172" s="48">
        <f t="shared" si="4"/>
        <v>0</v>
      </c>
    </row>
    <row r="173" spans="1:8" s="23" customFormat="1" x14ac:dyDescent="0.3">
      <c r="A173" s="3">
        <v>170</v>
      </c>
      <c r="B173" s="4" t="s">
        <v>326</v>
      </c>
      <c r="C173" s="55">
        <v>301051641</v>
      </c>
      <c r="D173" s="4" t="s">
        <v>482</v>
      </c>
      <c r="E173" s="55" t="s">
        <v>9</v>
      </c>
      <c r="F173" s="25">
        <v>37849.26</v>
      </c>
      <c r="G173" s="21">
        <v>0</v>
      </c>
      <c r="H173" s="26">
        <f t="shared" si="4"/>
        <v>0</v>
      </c>
    </row>
    <row r="174" spans="1:8" s="23" customFormat="1" x14ac:dyDescent="0.3">
      <c r="A174" s="3">
        <v>171</v>
      </c>
      <c r="B174" s="4" t="s">
        <v>326</v>
      </c>
      <c r="C174" s="55">
        <v>301052341</v>
      </c>
      <c r="D174" s="4" t="s">
        <v>483</v>
      </c>
      <c r="E174" s="55" t="s">
        <v>9</v>
      </c>
      <c r="F174" s="22">
        <v>39751.99</v>
      </c>
      <c r="G174" s="20">
        <v>0</v>
      </c>
      <c r="H174" s="48">
        <f t="shared" si="4"/>
        <v>0</v>
      </c>
    </row>
    <row r="175" spans="1:8" s="23" customFormat="1" x14ac:dyDescent="0.3">
      <c r="A175" s="3">
        <v>172</v>
      </c>
      <c r="B175" s="4" t="s">
        <v>326</v>
      </c>
      <c r="C175" s="55">
        <v>301054741</v>
      </c>
      <c r="D175" s="4" t="s">
        <v>484</v>
      </c>
      <c r="E175" s="55" t="s">
        <v>9</v>
      </c>
      <c r="F175" s="25">
        <v>51838.3</v>
      </c>
      <c r="G175" s="21">
        <v>0</v>
      </c>
      <c r="H175" s="26">
        <f t="shared" si="4"/>
        <v>0</v>
      </c>
    </row>
    <row r="176" spans="1:8" s="23" customFormat="1" x14ac:dyDescent="0.3">
      <c r="A176" s="3">
        <v>173</v>
      </c>
      <c r="B176" s="4" t="s">
        <v>326</v>
      </c>
      <c r="C176" s="55">
        <v>301054141</v>
      </c>
      <c r="D176" s="4" t="s">
        <v>485</v>
      </c>
      <c r="E176" s="55" t="s">
        <v>9</v>
      </c>
      <c r="F176" s="22">
        <v>29472.54</v>
      </c>
      <c r="G176" s="20">
        <v>0</v>
      </c>
      <c r="H176" s="48">
        <f t="shared" si="4"/>
        <v>0</v>
      </c>
    </row>
    <row r="177" spans="1:8" s="23" customFormat="1" x14ac:dyDescent="0.3">
      <c r="A177" s="3">
        <v>174</v>
      </c>
      <c r="B177" s="4" t="s">
        <v>326</v>
      </c>
      <c r="C177" s="55">
        <v>301055641</v>
      </c>
      <c r="D177" s="4" t="s">
        <v>486</v>
      </c>
      <c r="E177" s="55" t="s">
        <v>9</v>
      </c>
      <c r="F177" s="22">
        <v>25989.78</v>
      </c>
      <c r="G177" s="20">
        <v>0</v>
      </c>
      <c r="H177" s="48">
        <f t="shared" si="4"/>
        <v>0</v>
      </c>
    </row>
    <row r="178" spans="1:8" s="23" customFormat="1" x14ac:dyDescent="0.3">
      <c r="A178" s="3">
        <v>175</v>
      </c>
      <c r="B178" s="4" t="s">
        <v>326</v>
      </c>
      <c r="C178" s="55">
        <v>301064441</v>
      </c>
      <c r="D178" s="4" t="s">
        <v>487</v>
      </c>
      <c r="E178" s="55" t="s">
        <v>9</v>
      </c>
      <c r="F178" s="22">
        <v>519.16</v>
      </c>
      <c r="G178" s="20">
        <v>0</v>
      </c>
      <c r="H178" s="48">
        <f t="shared" si="4"/>
        <v>0</v>
      </c>
    </row>
    <row r="179" spans="1:8" s="23" customFormat="1" x14ac:dyDescent="0.3">
      <c r="A179" s="3">
        <v>176</v>
      </c>
      <c r="B179" s="4" t="s">
        <v>326</v>
      </c>
      <c r="C179" s="55">
        <v>301070541</v>
      </c>
      <c r="D179" s="4" t="s">
        <v>488</v>
      </c>
      <c r="E179" s="55" t="s">
        <v>9</v>
      </c>
      <c r="F179" s="22">
        <v>49839.75</v>
      </c>
      <c r="G179" s="20">
        <v>0</v>
      </c>
      <c r="H179" s="48">
        <f t="shared" si="4"/>
        <v>0</v>
      </c>
    </row>
    <row r="180" spans="1:8" s="23" customFormat="1" x14ac:dyDescent="0.3">
      <c r="A180" s="3">
        <v>177</v>
      </c>
      <c r="B180" s="4" t="s">
        <v>326</v>
      </c>
      <c r="C180" s="55">
        <v>301070741</v>
      </c>
      <c r="D180" s="4" t="s">
        <v>489</v>
      </c>
      <c r="E180" s="55" t="s">
        <v>9</v>
      </c>
      <c r="F180" s="22">
        <v>49839.75</v>
      </c>
      <c r="G180" s="20">
        <v>0</v>
      </c>
      <c r="H180" s="48">
        <f t="shared" si="4"/>
        <v>0</v>
      </c>
    </row>
    <row r="181" spans="1:8" s="23" customFormat="1" x14ac:dyDescent="0.3">
      <c r="A181" s="3">
        <v>178</v>
      </c>
      <c r="B181" s="4" t="s">
        <v>326</v>
      </c>
      <c r="C181" s="55">
        <v>301070841</v>
      </c>
      <c r="D181" s="4" t="s">
        <v>490</v>
      </c>
      <c r="E181" s="55" t="s">
        <v>9</v>
      </c>
      <c r="F181" s="22">
        <v>42571.45</v>
      </c>
      <c r="G181" s="20">
        <v>0</v>
      </c>
      <c r="H181" s="48">
        <f t="shared" si="4"/>
        <v>0</v>
      </c>
    </row>
    <row r="182" spans="1:8" s="23" customFormat="1" x14ac:dyDescent="0.3">
      <c r="A182" s="3">
        <v>179</v>
      </c>
      <c r="B182" s="4" t="s">
        <v>326</v>
      </c>
      <c r="C182" s="56"/>
      <c r="D182" s="4" t="s">
        <v>489</v>
      </c>
      <c r="E182" s="55" t="s">
        <v>9</v>
      </c>
      <c r="F182" s="22">
        <v>42331.839999999997</v>
      </c>
      <c r="G182" s="20">
        <v>0</v>
      </c>
      <c r="H182" s="48">
        <f t="shared" si="4"/>
        <v>0</v>
      </c>
    </row>
    <row r="183" spans="1:8" s="23" customFormat="1" x14ac:dyDescent="0.3">
      <c r="A183" s="3">
        <v>180</v>
      </c>
      <c r="B183" s="4" t="s">
        <v>326</v>
      </c>
      <c r="C183" s="55">
        <v>301070641</v>
      </c>
      <c r="D183" s="4" t="s">
        <v>491</v>
      </c>
      <c r="E183" s="55" t="s">
        <v>9</v>
      </c>
      <c r="F183" s="22">
        <v>42571.45</v>
      </c>
      <c r="G183" s="20">
        <v>0</v>
      </c>
      <c r="H183" s="48">
        <f t="shared" si="4"/>
        <v>0</v>
      </c>
    </row>
    <row r="184" spans="1:8" s="27" customFormat="1" x14ac:dyDescent="0.3">
      <c r="A184" s="3">
        <v>181</v>
      </c>
      <c r="B184" s="4" t="s">
        <v>326</v>
      </c>
      <c r="C184" s="55">
        <v>302030341</v>
      </c>
      <c r="D184" s="4" t="s">
        <v>728</v>
      </c>
      <c r="E184" s="55" t="s">
        <v>9</v>
      </c>
      <c r="F184" s="22">
        <v>280656.94</v>
      </c>
      <c r="G184" s="20">
        <v>0</v>
      </c>
      <c r="H184" s="48">
        <f t="shared" si="4"/>
        <v>0</v>
      </c>
    </row>
    <row r="185" spans="1:8" s="23" customFormat="1" x14ac:dyDescent="0.3">
      <c r="A185" s="3">
        <v>182</v>
      </c>
      <c r="B185" s="4" t="s">
        <v>326</v>
      </c>
      <c r="C185" s="55">
        <v>302031232</v>
      </c>
      <c r="D185" s="4" t="s">
        <v>492</v>
      </c>
      <c r="E185" s="55" t="s">
        <v>9</v>
      </c>
      <c r="F185" s="22">
        <v>7545593.3300000001</v>
      </c>
      <c r="G185" s="20">
        <v>0</v>
      </c>
      <c r="H185" s="48">
        <f t="shared" si="4"/>
        <v>0</v>
      </c>
    </row>
    <row r="186" spans="1:8" s="23" customFormat="1" x14ac:dyDescent="0.3">
      <c r="A186" s="3">
        <v>183</v>
      </c>
      <c r="B186" s="4" t="s">
        <v>326</v>
      </c>
      <c r="C186" s="55">
        <v>305011141</v>
      </c>
      <c r="D186" s="4" t="s">
        <v>493</v>
      </c>
      <c r="E186" s="55" t="s">
        <v>9</v>
      </c>
      <c r="F186" s="22">
        <v>166899.26</v>
      </c>
      <c r="G186" s="20">
        <v>0</v>
      </c>
      <c r="H186" s="48">
        <f t="shared" si="4"/>
        <v>0</v>
      </c>
    </row>
    <row r="187" spans="1:8" s="23" customFormat="1" ht="27.6" x14ac:dyDescent="0.3">
      <c r="A187" s="3">
        <v>184</v>
      </c>
      <c r="B187" s="4" t="s">
        <v>326</v>
      </c>
      <c r="C187" s="3">
        <v>305011041</v>
      </c>
      <c r="D187" s="57" t="s">
        <v>494</v>
      </c>
      <c r="E187" s="3" t="s">
        <v>9</v>
      </c>
      <c r="F187" s="22">
        <v>160573.45000000001</v>
      </c>
      <c r="G187" s="20">
        <v>0</v>
      </c>
      <c r="H187" s="48">
        <f t="shared" si="4"/>
        <v>0</v>
      </c>
    </row>
    <row r="188" spans="1:8" s="23" customFormat="1" ht="27.6" x14ac:dyDescent="0.3">
      <c r="A188" s="3">
        <v>185</v>
      </c>
      <c r="B188" s="4" t="s">
        <v>326</v>
      </c>
      <c r="C188" s="3">
        <v>305014241</v>
      </c>
      <c r="D188" s="57" t="s">
        <v>495</v>
      </c>
      <c r="E188" s="3" t="s">
        <v>9</v>
      </c>
      <c r="F188" s="22">
        <v>317488.78000000003</v>
      </c>
      <c r="G188" s="20">
        <v>0</v>
      </c>
      <c r="H188" s="48">
        <f t="shared" si="4"/>
        <v>0</v>
      </c>
    </row>
    <row r="189" spans="1:8" s="23" customFormat="1" ht="27.6" x14ac:dyDescent="0.3">
      <c r="A189" s="3">
        <v>186</v>
      </c>
      <c r="B189" s="4" t="s">
        <v>326</v>
      </c>
      <c r="C189" s="3">
        <v>305014141</v>
      </c>
      <c r="D189" s="57" t="s">
        <v>496</v>
      </c>
      <c r="E189" s="3" t="s">
        <v>9</v>
      </c>
      <c r="F189" s="22">
        <v>392619.37</v>
      </c>
      <c r="G189" s="20">
        <v>0</v>
      </c>
      <c r="H189" s="48">
        <f t="shared" si="4"/>
        <v>0</v>
      </c>
    </row>
    <row r="190" spans="1:8" s="23" customFormat="1" ht="27.6" x14ac:dyDescent="0.3">
      <c r="A190" s="3">
        <v>187</v>
      </c>
      <c r="B190" s="4" t="s">
        <v>326</v>
      </c>
      <c r="C190" s="3">
        <v>305015241</v>
      </c>
      <c r="D190" s="57" t="s">
        <v>497</v>
      </c>
      <c r="E190" s="3" t="s">
        <v>9</v>
      </c>
      <c r="F190" s="22">
        <v>320628.05</v>
      </c>
      <c r="G190" s="20">
        <v>0</v>
      </c>
      <c r="H190" s="48">
        <f t="shared" si="4"/>
        <v>0</v>
      </c>
    </row>
    <row r="191" spans="1:8" s="23" customFormat="1" x14ac:dyDescent="0.3">
      <c r="A191" s="3">
        <v>188</v>
      </c>
      <c r="B191" s="4" t="s">
        <v>326</v>
      </c>
      <c r="C191" s="55">
        <v>305014041</v>
      </c>
      <c r="D191" s="57" t="s">
        <v>498</v>
      </c>
      <c r="E191" s="55" t="s">
        <v>9</v>
      </c>
      <c r="F191" s="22">
        <v>253591.67</v>
      </c>
      <c r="G191" s="20">
        <v>0</v>
      </c>
      <c r="H191" s="48">
        <f t="shared" si="4"/>
        <v>0</v>
      </c>
    </row>
    <row r="192" spans="1:8" s="23" customFormat="1" ht="27.6" x14ac:dyDescent="0.3">
      <c r="A192" s="3">
        <v>189</v>
      </c>
      <c r="B192" s="4" t="s">
        <v>326</v>
      </c>
      <c r="C192" s="3">
        <v>305015141</v>
      </c>
      <c r="D192" s="57" t="s">
        <v>499</v>
      </c>
      <c r="E192" s="3" t="s">
        <v>9</v>
      </c>
      <c r="F192" s="22">
        <v>217282.28</v>
      </c>
      <c r="G192" s="20">
        <v>0</v>
      </c>
      <c r="H192" s="48">
        <f t="shared" si="4"/>
        <v>0</v>
      </c>
    </row>
    <row r="193" spans="1:8" s="23" customFormat="1" x14ac:dyDescent="0.3">
      <c r="A193" s="3">
        <v>190</v>
      </c>
      <c r="B193" s="4" t="s">
        <v>326</v>
      </c>
      <c r="C193" s="55">
        <v>305013941</v>
      </c>
      <c r="D193" s="57" t="s">
        <v>500</v>
      </c>
      <c r="E193" s="55" t="s">
        <v>9</v>
      </c>
      <c r="F193" s="22">
        <v>248841.46</v>
      </c>
      <c r="G193" s="20">
        <v>0</v>
      </c>
      <c r="H193" s="48">
        <f t="shared" si="4"/>
        <v>0</v>
      </c>
    </row>
    <row r="194" spans="1:8" s="23" customFormat="1" x14ac:dyDescent="0.3">
      <c r="A194" s="3">
        <v>191</v>
      </c>
      <c r="B194" s="4" t="s">
        <v>326</v>
      </c>
      <c r="C194" s="55">
        <v>305010541</v>
      </c>
      <c r="D194" s="57" t="s">
        <v>501</v>
      </c>
      <c r="E194" s="55" t="s">
        <v>9</v>
      </c>
      <c r="F194" s="22">
        <v>130525.83</v>
      </c>
      <c r="G194" s="20">
        <v>0</v>
      </c>
      <c r="H194" s="48">
        <f t="shared" si="4"/>
        <v>0</v>
      </c>
    </row>
    <row r="195" spans="1:8" s="23" customFormat="1" ht="27.6" x14ac:dyDescent="0.3">
      <c r="A195" s="3">
        <v>192</v>
      </c>
      <c r="B195" s="4" t="s">
        <v>326</v>
      </c>
      <c r="C195" s="3">
        <v>303050441</v>
      </c>
      <c r="D195" s="57" t="s">
        <v>502</v>
      </c>
      <c r="E195" s="3" t="s">
        <v>9</v>
      </c>
      <c r="F195" s="22">
        <v>267148.77</v>
      </c>
      <c r="G195" s="20">
        <v>0</v>
      </c>
      <c r="H195" s="48">
        <f t="shared" si="4"/>
        <v>0</v>
      </c>
    </row>
    <row r="196" spans="1:8" s="27" customFormat="1" ht="27.6" x14ac:dyDescent="0.3">
      <c r="A196" s="3">
        <v>193</v>
      </c>
      <c r="B196" s="4" t="s">
        <v>326</v>
      </c>
      <c r="C196" s="3">
        <v>303050341</v>
      </c>
      <c r="D196" s="57" t="s">
        <v>503</v>
      </c>
      <c r="E196" s="3" t="s">
        <v>9</v>
      </c>
      <c r="F196" s="22">
        <v>250591.02</v>
      </c>
      <c r="G196" s="20">
        <v>0</v>
      </c>
      <c r="H196" s="48">
        <f t="shared" si="4"/>
        <v>0</v>
      </c>
    </row>
    <row r="197" spans="1:8" s="23" customFormat="1" ht="27.6" x14ac:dyDescent="0.3">
      <c r="A197" s="3">
        <v>194</v>
      </c>
      <c r="B197" s="4" t="s">
        <v>326</v>
      </c>
      <c r="C197" s="3">
        <v>303060432</v>
      </c>
      <c r="D197" s="57" t="s">
        <v>504</v>
      </c>
      <c r="E197" s="3" t="s">
        <v>369</v>
      </c>
      <c r="F197" s="22">
        <v>729409.51</v>
      </c>
      <c r="G197" s="20">
        <v>0</v>
      </c>
      <c r="H197" s="48">
        <f t="shared" si="4"/>
        <v>0</v>
      </c>
    </row>
    <row r="198" spans="1:8" s="23" customFormat="1" ht="27.6" x14ac:dyDescent="0.3">
      <c r="A198" s="3">
        <v>195</v>
      </c>
      <c r="B198" s="4" t="s">
        <v>326</v>
      </c>
      <c r="C198" s="3">
        <v>303060332</v>
      </c>
      <c r="D198" s="57" t="s">
        <v>505</v>
      </c>
      <c r="E198" s="3" t="s">
        <v>369</v>
      </c>
      <c r="F198" s="22">
        <v>742803.94</v>
      </c>
      <c r="G198" s="20">
        <v>0</v>
      </c>
      <c r="H198" s="48">
        <f t="shared" si="4"/>
        <v>0</v>
      </c>
    </row>
    <row r="199" spans="1:8" s="23" customFormat="1" x14ac:dyDescent="0.3">
      <c r="A199" s="3">
        <v>196</v>
      </c>
      <c r="B199" s="4" t="s">
        <v>326</v>
      </c>
      <c r="C199" s="3">
        <v>303061932</v>
      </c>
      <c r="D199" s="57" t="s">
        <v>506</v>
      </c>
      <c r="E199" s="3" t="s">
        <v>369</v>
      </c>
      <c r="F199" s="22">
        <v>562933.56999999995</v>
      </c>
      <c r="G199" s="20">
        <v>0</v>
      </c>
      <c r="H199" s="48">
        <f t="shared" si="4"/>
        <v>0</v>
      </c>
    </row>
    <row r="200" spans="1:8" s="23" customFormat="1" x14ac:dyDescent="0.3">
      <c r="A200" s="3">
        <v>197</v>
      </c>
      <c r="B200" s="4" t="s">
        <v>326</v>
      </c>
      <c r="C200" s="59"/>
      <c r="D200" s="4" t="s">
        <v>507</v>
      </c>
      <c r="E200" s="3" t="s">
        <v>369</v>
      </c>
      <c r="F200" s="22">
        <v>4774106.76</v>
      </c>
      <c r="G200" s="20">
        <v>0</v>
      </c>
      <c r="H200" s="48">
        <f t="shared" si="4"/>
        <v>0</v>
      </c>
    </row>
    <row r="201" spans="1:8" s="23" customFormat="1" ht="27.6" x14ac:dyDescent="0.3">
      <c r="A201" s="3">
        <v>198</v>
      </c>
      <c r="B201" s="4" t="s">
        <v>326</v>
      </c>
      <c r="C201" s="3">
        <v>30343632</v>
      </c>
      <c r="D201" s="57" t="s">
        <v>508</v>
      </c>
      <c r="E201" s="3" t="s">
        <v>9</v>
      </c>
      <c r="F201" s="22">
        <v>5721986.4900000002</v>
      </c>
      <c r="G201" s="20">
        <v>0</v>
      </c>
      <c r="H201" s="48">
        <f t="shared" si="4"/>
        <v>0</v>
      </c>
    </row>
    <row r="202" spans="1:8" s="23" customFormat="1" x14ac:dyDescent="0.3">
      <c r="A202" s="3">
        <v>199</v>
      </c>
      <c r="B202" s="4" t="s">
        <v>326</v>
      </c>
      <c r="C202" s="59"/>
      <c r="D202" s="4" t="s">
        <v>509</v>
      </c>
      <c r="E202" s="3" t="s">
        <v>369</v>
      </c>
      <c r="F202" s="22">
        <v>4076635.83</v>
      </c>
      <c r="G202" s="20">
        <v>0</v>
      </c>
      <c r="H202" s="48">
        <f t="shared" si="4"/>
        <v>0</v>
      </c>
    </row>
    <row r="203" spans="1:8" s="23" customFormat="1" x14ac:dyDescent="0.3">
      <c r="A203" s="3">
        <v>200</v>
      </c>
      <c r="B203" s="4" t="s">
        <v>326</v>
      </c>
      <c r="C203" s="59"/>
      <c r="D203" s="4" t="s">
        <v>510</v>
      </c>
      <c r="E203" s="3" t="s">
        <v>369</v>
      </c>
      <c r="F203" s="22">
        <v>3908297.28</v>
      </c>
      <c r="G203" s="20">
        <v>0</v>
      </c>
      <c r="H203" s="48">
        <f t="shared" si="4"/>
        <v>0</v>
      </c>
    </row>
    <row r="204" spans="1:8" s="23" customFormat="1" x14ac:dyDescent="0.3">
      <c r="A204" s="3">
        <v>201</v>
      </c>
      <c r="B204" s="4" t="s">
        <v>326</v>
      </c>
      <c r="C204" s="59"/>
      <c r="D204" s="4" t="s">
        <v>511</v>
      </c>
      <c r="E204" s="3" t="s">
        <v>369</v>
      </c>
      <c r="F204" s="22">
        <v>4135740.66</v>
      </c>
      <c r="G204" s="20">
        <v>0</v>
      </c>
      <c r="H204" s="48">
        <f t="shared" si="4"/>
        <v>0</v>
      </c>
    </row>
    <row r="205" spans="1:8" s="23" customFormat="1" ht="27.6" x14ac:dyDescent="0.3">
      <c r="A205" s="3">
        <v>202</v>
      </c>
      <c r="B205" s="4" t="s">
        <v>326</v>
      </c>
      <c r="C205" s="59"/>
      <c r="D205" s="57" t="s">
        <v>512</v>
      </c>
      <c r="E205" s="3" t="s">
        <v>9</v>
      </c>
      <c r="F205" s="22">
        <v>4285898.87</v>
      </c>
      <c r="G205" s="20">
        <v>0</v>
      </c>
      <c r="H205" s="48">
        <f t="shared" si="4"/>
        <v>0</v>
      </c>
    </row>
    <row r="206" spans="1:8" s="23" customFormat="1" x14ac:dyDescent="0.3">
      <c r="A206" s="3">
        <v>203</v>
      </c>
      <c r="B206" s="4" t="s">
        <v>326</v>
      </c>
      <c r="C206" s="59"/>
      <c r="D206" s="4" t="s">
        <v>513</v>
      </c>
      <c r="E206" s="3" t="s">
        <v>369</v>
      </c>
      <c r="F206" s="22">
        <v>3266573.18</v>
      </c>
      <c r="G206" s="20">
        <v>0</v>
      </c>
      <c r="H206" s="48">
        <f t="shared" si="4"/>
        <v>0</v>
      </c>
    </row>
    <row r="207" spans="1:8" s="23" customFormat="1" ht="27.6" x14ac:dyDescent="0.3">
      <c r="A207" s="3">
        <v>204</v>
      </c>
      <c r="B207" s="4" t="s">
        <v>326</v>
      </c>
      <c r="C207" s="59"/>
      <c r="D207" s="57" t="s">
        <v>514</v>
      </c>
      <c r="E207" s="3" t="s">
        <v>9</v>
      </c>
      <c r="F207" s="22">
        <v>1244396.28</v>
      </c>
      <c r="G207" s="20">
        <v>0</v>
      </c>
      <c r="H207" s="48">
        <f t="shared" si="4"/>
        <v>0</v>
      </c>
    </row>
    <row r="208" spans="1:8" s="23" customFormat="1" x14ac:dyDescent="0.3">
      <c r="A208" s="3">
        <v>205</v>
      </c>
      <c r="B208" s="4" t="s">
        <v>326</v>
      </c>
      <c r="C208" s="3">
        <v>303036532</v>
      </c>
      <c r="D208" s="4" t="s">
        <v>515</v>
      </c>
      <c r="E208" s="3" t="s">
        <v>9</v>
      </c>
      <c r="F208" s="22">
        <v>3820648.02</v>
      </c>
      <c r="G208" s="20">
        <v>0</v>
      </c>
      <c r="H208" s="48">
        <f t="shared" ref="H208:H275" si="5">ROUND(F208*G208,2)</f>
        <v>0</v>
      </c>
    </row>
    <row r="209" spans="1:8" s="23" customFormat="1" x14ac:dyDescent="0.3">
      <c r="A209" s="3">
        <v>206</v>
      </c>
      <c r="B209" s="4" t="s">
        <v>326</v>
      </c>
      <c r="C209" s="3">
        <v>303036732</v>
      </c>
      <c r="D209" s="4" t="s">
        <v>516</v>
      </c>
      <c r="E209" s="3" t="s">
        <v>9</v>
      </c>
      <c r="F209" s="22">
        <v>2155249.63</v>
      </c>
      <c r="G209" s="20">
        <v>0</v>
      </c>
      <c r="H209" s="48">
        <f t="shared" si="5"/>
        <v>0</v>
      </c>
    </row>
    <row r="210" spans="1:8" s="23" customFormat="1" x14ac:dyDescent="0.3">
      <c r="A210" s="3">
        <v>207</v>
      </c>
      <c r="B210" s="4" t="s">
        <v>326</v>
      </c>
      <c r="C210" s="3">
        <v>303036832</v>
      </c>
      <c r="D210" s="4" t="s">
        <v>517</v>
      </c>
      <c r="E210" s="3" t="s">
        <v>9</v>
      </c>
      <c r="F210" s="22">
        <v>1240722.2</v>
      </c>
      <c r="G210" s="20">
        <v>0</v>
      </c>
      <c r="H210" s="48">
        <f t="shared" si="5"/>
        <v>0</v>
      </c>
    </row>
    <row r="211" spans="1:8" s="23" customFormat="1" x14ac:dyDescent="0.3">
      <c r="A211" s="3">
        <v>208</v>
      </c>
      <c r="B211" s="4" t="s">
        <v>326</v>
      </c>
      <c r="C211" s="3">
        <v>303036932</v>
      </c>
      <c r="D211" s="4" t="s">
        <v>518</v>
      </c>
      <c r="E211" s="3" t="s">
        <v>9</v>
      </c>
      <c r="F211" s="22">
        <v>448989.04</v>
      </c>
      <c r="G211" s="20">
        <v>0</v>
      </c>
      <c r="H211" s="48">
        <f t="shared" si="5"/>
        <v>0</v>
      </c>
    </row>
    <row r="212" spans="1:8" s="23" customFormat="1" x14ac:dyDescent="0.3">
      <c r="A212" s="3">
        <v>209</v>
      </c>
      <c r="B212" s="4" t="s">
        <v>326</v>
      </c>
      <c r="C212" s="59"/>
      <c r="D212" s="4" t="s">
        <v>519</v>
      </c>
      <c r="E212" s="3" t="s">
        <v>369</v>
      </c>
      <c r="F212" s="22">
        <v>2565567.34</v>
      </c>
      <c r="G212" s="20">
        <v>0</v>
      </c>
      <c r="H212" s="48">
        <f t="shared" si="5"/>
        <v>0</v>
      </c>
    </row>
    <row r="213" spans="1:8" s="23" customFormat="1" x14ac:dyDescent="0.3">
      <c r="A213" s="3">
        <v>210</v>
      </c>
      <c r="B213" s="4" t="s">
        <v>326</v>
      </c>
      <c r="C213" s="59"/>
      <c r="D213" s="4" t="s">
        <v>520</v>
      </c>
      <c r="E213" s="3" t="s">
        <v>369</v>
      </c>
      <c r="F213" s="22">
        <v>2950550.04</v>
      </c>
      <c r="G213" s="20">
        <v>0</v>
      </c>
      <c r="H213" s="48">
        <f t="shared" si="5"/>
        <v>0</v>
      </c>
    </row>
    <row r="214" spans="1:8" s="23" customFormat="1" x14ac:dyDescent="0.3">
      <c r="A214" s="3">
        <v>211</v>
      </c>
      <c r="B214" s="4" t="s">
        <v>326</v>
      </c>
      <c r="C214" s="59"/>
      <c r="D214" s="4" t="s">
        <v>521</v>
      </c>
      <c r="E214" s="3" t="s">
        <v>369</v>
      </c>
      <c r="F214" s="22">
        <v>2597193.8199999998</v>
      </c>
      <c r="G214" s="20">
        <v>0</v>
      </c>
      <c r="H214" s="48">
        <f t="shared" si="5"/>
        <v>0</v>
      </c>
    </row>
    <row r="215" spans="1:8" s="23" customFormat="1" ht="27.6" x14ac:dyDescent="0.3">
      <c r="A215" s="3">
        <v>212</v>
      </c>
      <c r="B215" s="4" t="s">
        <v>326</v>
      </c>
      <c r="C215" s="3">
        <v>303042532</v>
      </c>
      <c r="D215" s="57" t="s">
        <v>522</v>
      </c>
      <c r="E215" s="3" t="s">
        <v>9</v>
      </c>
      <c r="F215" s="22">
        <v>3687662.15</v>
      </c>
      <c r="G215" s="20">
        <v>0</v>
      </c>
      <c r="H215" s="48">
        <f t="shared" si="5"/>
        <v>0</v>
      </c>
    </row>
    <row r="216" spans="1:8" s="23" customFormat="1" ht="27.6" x14ac:dyDescent="0.3">
      <c r="A216" s="3">
        <v>213</v>
      </c>
      <c r="B216" s="4" t="s">
        <v>326</v>
      </c>
      <c r="C216" s="3">
        <v>303042432</v>
      </c>
      <c r="D216" s="57" t="s">
        <v>523</v>
      </c>
      <c r="E216" s="3" t="s">
        <v>9</v>
      </c>
      <c r="F216" s="22">
        <v>3853954.39</v>
      </c>
      <c r="G216" s="20">
        <v>0</v>
      </c>
      <c r="H216" s="48">
        <f t="shared" si="5"/>
        <v>0</v>
      </c>
    </row>
    <row r="217" spans="1:8" s="23" customFormat="1" ht="27.6" x14ac:dyDescent="0.3">
      <c r="A217" s="3">
        <v>214</v>
      </c>
      <c r="B217" s="4" t="s">
        <v>326</v>
      </c>
      <c r="C217" s="59"/>
      <c r="D217" s="57" t="s">
        <v>524</v>
      </c>
      <c r="E217" s="3" t="s">
        <v>9</v>
      </c>
      <c r="F217" s="22">
        <v>316309.68</v>
      </c>
      <c r="G217" s="20">
        <v>0</v>
      </c>
      <c r="H217" s="48">
        <f t="shared" si="5"/>
        <v>0</v>
      </c>
    </row>
    <row r="218" spans="1:8" s="23" customFormat="1" ht="27.6" x14ac:dyDescent="0.3">
      <c r="A218" s="3">
        <v>215</v>
      </c>
      <c r="B218" s="4" t="s">
        <v>326</v>
      </c>
      <c r="C218" s="59"/>
      <c r="D218" s="57" t="s">
        <v>525</v>
      </c>
      <c r="E218" s="3" t="s">
        <v>9</v>
      </c>
      <c r="F218" s="22">
        <v>3161309.68</v>
      </c>
      <c r="G218" s="20">
        <v>0</v>
      </c>
      <c r="H218" s="48">
        <f t="shared" si="5"/>
        <v>0</v>
      </c>
    </row>
    <row r="219" spans="1:8" s="23" customFormat="1" x14ac:dyDescent="0.3">
      <c r="A219" s="3">
        <v>216</v>
      </c>
      <c r="B219" s="4" t="s">
        <v>326</v>
      </c>
      <c r="C219" s="59"/>
      <c r="D219" s="4" t="s">
        <v>526</v>
      </c>
      <c r="E219" s="3" t="s">
        <v>369</v>
      </c>
      <c r="F219" s="22">
        <v>2338634.35</v>
      </c>
      <c r="G219" s="20">
        <v>0</v>
      </c>
      <c r="H219" s="48">
        <f t="shared" si="5"/>
        <v>0</v>
      </c>
    </row>
    <row r="220" spans="1:8" s="23" customFormat="1" ht="27.6" x14ac:dyDescent="0.3">
      <c r="A220" s="3">
        <v>217</v>
      </c>
      <c r="B220" s="4" t="s">
        <v>326</v>
      </c>
      <c r="C220" s="3">
        <v>303036632</v>
      </c>
      <c r="D220" s="57" t="s">
        <v>527</v>
      </c>
      <c r="E220" s="3" t="s">
        <v>369</v>
      </c>
      <c r="F220" s="22">
        <v>3004602.01</v>
      </c>
      <c r="G220" s="20">
        <v>0</v>
      </c>
      <c r="H220" s="48">
        <f t="shared" si="5"/>
        <v>0</v>
      </c>
    </row>
    <row r="221" spans="1:8" s="23" customFormat="1" ht="27.6" x14ac:dyDescent="0.3">
      <c r="A221" s="3">
        <v>218</v>
      </c>
      <c r="B221" s="4" t="s">
        <v>326</v>
      </c>
      <c r="C221" s="3">
        <v>303041532</v>
      </c>
      <c r="D221" s="57" t="s">
        <v>528</v>
      </c>
      <c r="E221" s="3" t="s">
        <v>9</v>
      </c>
      <c r="F221" s="22">
        <v>1634168.67</v>
      </c>
      <c r="G221" s="20">
        <v>0</v>
      </c>
      <c r="H221" s="48">
        <f t="shared" si="5"/>
        <v>0</v>
      </c>
    </row>
    <row r="222" spans="1:8" s="23" customFormat="1" ht="27.6" x14ac:dyDescent="0.3">
      <c r="A222" s="3">
        <v>219</v>
      </c>
      <c r="B222" s="4" t="s">
        <v>326</v>
      </c>
      <c r="C222" s="59"/>
      <c r="D222" s="57" t="s">
        <v>529</v>
      </c>
      <c r="E222" s="3" t="s">
        <v>9</v>
      </c>
      <c r="F222" s="22">
        <v>1634168.67</v>
      </c>
      <c r="G222" s="20">
        <v>0</v>
      </c>
      <c r="H222" s="48">
        <f t="shared" si="5"/>
        <v>0</v>
      </c>
    </row>
    <row r="223" spans="1:8" s="23" customFormat="1" x14ac:dyDescent="0.3">
      <c r="A223" s="3">
        <v>220</v>
      </c>
      <c r="B223" s="4" t="s">
        <v>326</v>
      </c>
      <c r="C223" s="3">
        <v>303041632</v>
      </c>
      <c r="D223" s="4" t="s">
        <v>530</v>
      </c>
      <c r="E223" s="3" t="s">
        <v>369</v>
      </c>
      <c r="F223" s="22">
        <v>1154412.98</v>
      </c>
      <c r="G223" s="20">
        <v>0</v>
      </c>
      <c r="H223" s="48">
        <f t="shared" si="5"/>
        <v>0</v>
      </c>
    </row>
    <row r="224" spans="1:8" s="23" customFormat="1" x14ac:dyDescent="0.3">
      <c r="A224" s="3">
        <v>221</v>
      </c>
      <c r="B224" s="4" t="s">
        <v>326</v>
      </c>
      <c r="C224" s="59"/>
      <c r="D224" s="4" t="s">
        <v>531</v>
      </c>
      <c r="E224" s="3" t="s">
        <v>369</v>
      </c>
      <c r="F224" s="22">
        <v>1214091.67</v>
      </c>
      <c r="G224" s="20">
        <v>0</v>
      </c>
      <c r="H224" s="48">
        <f t="shared" si="5"/>
        <v>0</v>
      </c>
    </row>
    <row r="225" spans="1:8" s="23" customFormat="1" ht="27.6" x14ac:dyDescent="0.3">
      <c r="A225" s="3">
        <v>222</v>
      </c>
      <c r="B225" s="4" t="s">
        <v>326</v>
      </c>
      <c r="C225" s="3">
        <v>303041032</v>
      </c>
      <c r="D225" s="57" t="s">
        <v>529</v>
      </c>
      <c r="E225" s="3" t="s">
        <v>9</v>
      </c>
      <c r="F225" s="22">
        <v>85302.46</v>
      </c>
      <c r="G225" s="20">
        <v>0</v>
      </c>
      <c r="H225" s="48">
        <f t="shared" si="5"/>
        <v>0</v>
      </c>
    </row>
    <row r="226" spans="1:8" s="23" customFormat="1" ht="27.6" x14ac:dyDescent="0.3">
      <c r="A226" s="3">
        <v>223</v>
      </c>
      <c r="B226" s="4" t="s">
        <v>326</v>
      </c>
      <c r="C226" s="3">
        <v>303040932</v>
      </c>
      <c r="D226" s="57" t="s">
        <v>532</v>
      </c>
      <c r="E226" s="3" t="s">
        <v>9</v>
      </c>
      <c r="F226" s="22">
        <v>85026.46</v>
      </c>
      <c r="G226" s="20">
        <v>0</v>
      </c>
      <c r="H226" s="48">
        <f t="shared" si="5"/>
        <v>0</v>
      </c>
    </row>
    <row r="227" spans="1:8" s="23" customFormat="1" ht="27.6" x14ac:dyDescent="0.3">
      <c r="A227" s="3">
        <v>224</v>
      </c>
      <c r="B227" s="4" t="s">
        <v>326</v>
      </c>
      <c r="C227" s="3">
        <v>303040432</v>
      </c>
      <c r="D227" s="57" t="s">
        <v>533</v>
      </c>
      <c r="E227" s="3" t="s">
        <v>9</v>
      </c>
      <c r="F227" s="22">
        <v>424676.19</v>
      </c>
      <c r="G227" s="20">
        <v>0</v>
      </c>
      <c r="H227" s="48">
        <f t="shared" si="5"/>
        <v>0</v>
      </c>
    </row>
    <row r="228" spans="1:8" s="23" customFormat="1" x14ac:dyDescent="0.3">
      <c r="A228" s="3">
        <v>225</v>
      </c>
      <c r="B228" s="4" t="s">
        <v>326</v>
      </c>
      <c r="C228" s="59"/>
      <c r="D228" s="4" t="s">
        <v>534</v>
      </c>
      <c r="E228" s="3" t="s">
        <v>369</v>
      </c>
      <c r="F228" s="22">
        <v>912131.29</v>
      </c>
      <c r="G228" s="20">
        <v>0</v>
      </c>
      <c r="H228" s="48">
        <f t="shared" si="5"/>
        <v>0</v>
      </c>
    </row>
    <row r="229" spans="1:8" s="23" customFormat="1" x14ac:dyDescent="0.3">
      <c r="A229" s="3">
        <v>226</v>
      </c>
      <c r="B229" s="4" t="s">
        <v>326</v>
      </c>
      <c r="C229" s="59"/>
      <c r="D229" s="4" t="s">
        <v>535</v>
      </c>
      <c r="E229" s="3" t="s">
        <v>369</v>
      </c>
      <c r="F229" s="22">
        <v>853026.46</v>
      </c>
      <c r="G229" s="20">
        <v>0</v>
      </c>
      <c r="H229" s="48">
        <f t="shared" si="5"/>
        <v>0</v>
      </c>
    </row>
    <row r="230" spans="1:8" s="23" customFormat="1" x14ac:dyDescent="0.3">
      <c r="A230" s="3">
        <v>227</v>
      </c>
      <c r="B230" s="4" t="s">
        <v>326</v>
      </c>
      <c r="C230" s="59"/>
      <c r="D230" s="4" t="s">
        <v>536</v>
      </c>
      <c r="E230" s="3" t="s">
        <v>369</v>
      </c>
      <c r="F230" s="22">
        <v>568684.31000000006</v>
      </c>
      <c r="G230" s="20">
        <v>0</v>
      </c>
      <c r="H230" s="48">
        <f t="shared" si="5"/>
        <v>0</v>
      </c>
    </row>
    <row r="231" spans="1:8" s="23" customFormat="1" x14ac:dyDescent="0.3">
      <c r="A231" s="3">
        <v>228</v>
      </c>
      <c r="B231" s="4" t="s">
        <v>326</v>
      </c>
      <c r="C231" s="55">
        <v>401010741</v>
      </c>
      <c r="D231" s="4" t="s">
        <v>537</v>
      </c>
      <c r="E231" s="3" t="s">
        <v>9</v>
      </c>
      <c r="F231" s="22">
        <v>1036.46</v>
      </c>
      <c r="G231" s="20">
        <v>0</v>
      </c>
      <c r="H231" s="48">
        <f t="shared" si="5"/>
        <v>0</v>
      </c>
    </row>
    <row r="232" spans="1:8" s="23" customFormat="1" x14ac:dyDescent="0.3">
      <c r="A232" s="3">
        <v>229</v>
      </c>
      <c r="B232" s="4" t="s">
        <v>326</v>
      </c>
      <c r="C232" s="55">
        <v>401010641</v>
      </c>
      <c r="D232" s="4" t="s">
        <v>538</v>
      </c>
      <c r="E232" s="3" t="s">
        <v>9</v>
      </c>
      <c r="F232" s="22">
        <v>695.92</v>
      </c>
      <c r="G232" s="20">
        <v>0</v>
      </c>
      <c r="H232" s="48">
        <f t="shared" si="5"/>
        <v>0</v>
      </c>
    </row>
    <row r="233" spans="1:8" s="23" customFormat="1" x14ac:dyDescent="0.3">
      <c r="A233" s="3">
        <v>230</v>
      </c>
      <c r="B233" s="4" t="s">
        <v>326</v>
      </c>
      <c r="C233" s="55">
        <v>401020341</v>
      </c>
      <c r="D233" s="4" t="s">
        <v>539</v>
      </c>
      <c r="E233" s="3" t="s">
        <v>9</v>
      </c>
      <c r="F233" s="22">
        <v>9249.75</v>
      </c>
      <c r="G233" s="20">
        <v>0</v>
      </c>
      <c r="H233" s="48">
        <f t="shared" si="5"/>
        <v>0</v>
      </c>
    </row>
    <row r="234" spans="1:8" s="23" customFormat="1" x14ac:dyDescent="0.3">
      <c r="A234" s="3">
        <v>231</v>
      </c>
      <c r="B234" s="4" t="s">
        <v>326</v>
      </c>
      <c r="C234" s="55">
        <v>401021541</v>
      </c>
      <c r="D234" s="4" t="s">
        <v>540</v>
      </c>
      <c r="E234" s="3" t="s">
        <v>9</v>
      </c>
      <c r="F234" s="22">
        <v>6580.65</v>
      </c>
      <c r="G234" s="20">
        <v>0</v>
      </c>
      <c r="H234" s="48">
        <f t="shared" si="5"/>
        <v>0</v>
      </c>
    </row>
    <row r="235" spans="1:8" s="23" customFormat="1" x14ac:dyDescent="0.3">
      <c r="A235" s="3">
        <v>232</v>
      </c>
      <c r="B235" s="4" t="s">
        <v>326</v>
      </c>
      <c r="C235" s="55">
        <v>401021241</v>
      </c>
      <c r="D235" s="4" t="s">
        <v>541</v>
      </c>
      <c r="E235" s="3" t="s">
        <v>9</v>
      </c>
      <c r="F235" s="22">
        <v>5247.55</v>
      </c>
      <c r="G235" s="20">
        <v>0</v>
      </c>
      <c r="H235" s="48">
        <f t="shared" si="5"/>
        <v>0</v>
      </c>
    </row>
    <row r="236" spans="1:8" s="23" customFormat="1" x14ac:dyDescent="0.3">
      <c r="A236" s="3">
        <v>233</v>
      </c>
      <c r="B236" s="4" t="s">
        <v>326</v>
      </c>
      <c r="C236" s="55">
        <v>401021441</v>
      </c>
      <c r="D236" s="4" t="s">
        <v>542</v>
      </c>
      <c r="E236" s="3" t="s">
        <v>9</v>
      </c>
      <c r="F236" s="22">
        <v>7824.28</v>
      </c>
      <c r="G236" s="20">
        <v>0</v>
      </c>
      <c r="H236" s="48">
        <f t="shared" si="5"/>
        <v>0</v>
      </c>
    </row>
    <row r="237" spans="1:8" s="23" customFormat="1" x14ac:dyDescent="0.3">
      <c r="A237" s="3">
        <v>234</v>
      </c>
      <c r="B237" s="4" t="s">
        <v>326</v>
      </c>
      <c r="C237" s="55">
        <v>401020641</v>
      </c>
      <c r="D237" s="4" t="s">
        <v>543</v>
      </c>
      <c r="E237" s="3" t="s">
        <v>9</v>
      </c>
      <c r="F237" s="22">
        <v>10205.09</v>
      </c>
      <c r="G237" s="20">
        <v>0</v>
      </c>
      <c r="H237" s="48">
        <f t="shared" si="5"/>
        <v>0</v>
      </c>
    </row>
    <row r="238" spans="1:8" s="23" customFormat="1" x14ac:dyDescent="0.3">
      <c r="A238" s="3">
        <v>235</v>
      </c>
      <c r="B238" s="4" t="s">
        <v>326</v>
      </c>
      <c r="C238" s="55">
        <v>401021341</v>
      </c>
      <c r="D238" s="4" t="s">
        <v>544</v>
      </c>
      <c r="E238" s="3" t="s">
        <v>9</v>
      </c>
      <c r="F238" s="22">
        <v>13796.82</v>
      </c>
      <c r="G238" s="20">
        <v>0</v>
      </c>
      <c r="H238" s="48">
        <f t="shared" si="5"/>
        <v>0</v>
      </c>
    </row>
    <row r="239" spans="1:8" s="23" customFormat="1" ht="27.6" x14ac:dyDescent="0.3">
      <c r="A239" s="3">
        <v>236</v>
      </c>
      <c r="B239" s="4" t="s">
        <v>326</v>
      </c>
      <c r="C239" s="55">
        <v>401030441</v>
      </c>
      <c r="D239" s="57" t="s">
        <v>545</v>
      </c>
      <c r="E239" s="3" t="s">
        <v>9</v>
      </c>
      <c r="F239" s="22">
        <v>10203.01</v>
      </c>
      <c r="G239" s="20">
        <v>0</v>
      </c>
      <c r="H239" s="48">
        <f t="shared" si="5"/>
        <v>0</v>
      </c>
    </row>
    <row r="240" spans="1:8" s="23" customFormat="1" ht="27.6" x14ac:dyDescent="0.3">
      <c r="A240" s="3">
        <v>237</v>
      </c>
      <c r="B240" s="4" t="s">
        <v>326</v>
      </c>
      <c r="C240" s="55">
        <v>401030941</v>
      </c>
      <c r="D240" s="57" t="s">
        <v>546</v>
      </c>
      <c r="E240" s="3" t="s">
        <v>9</v>
      </c>
      <c r="F240" s="22">
        <v>13603.22</v>
      </c>
      <c r="G240" s="20">
        <v>0</v>
      </c>
      <c r="H240" s="48">
        <f t="shared" si="5"/>
        <v>0</v>
      </c>
    </row>
    <row r="241" spans="1:8" s="23" customFormat="1" x14ac:dyDescent="0.3">
      <c r="A241" s="3">
        <v>238</v>
      </c>
      <c r="B241" s="4" t="s">
        <v>326</v>
      </c>
      <c r="C241" s="55">
        <v>401030741</v>
      </c>
      <c r="D241" s="4" t="s">
        <v>547</v>
      </c>
      <c r="E241" s="3" t="s">
        <v>9</v>
      </c>
      <c r="F241" s="22">
        <v>14098.9</v>
      </c>
      <c r="G241" s="20">
        <v>0</v>
      </c>
      <c r="H241" s="48">
        <f t="shared" si="5"/>
        <v>0</v>
      </c>
    </row>
    <row r="242" spans="1:8" s="23" customFormat="1" x14ac:dyDescent="0.3">
      <c r="A242" s="3">
        <v>239</v>
      </c>
      <c r="B242" s="4" t="s">
        <v>326</v>
      </c>
      <c r="C242" s="55">
        <v>401032541</v>
      </c>
      <c r="D242" s="4" t="s">
        <v>548</v>
      </c>
      <c r="E242" s="3" t="s">
        <v>9</v>
      </c>
      <c r="F242" s="22">
        <v>13258.65</v>
      </c>
      <c r="G242" s="20">
        <v>0</v>
      </c>
      <c r="H242" s="48">
        <f t="shared" si="5"/>
        <v>0</v>
      </c>
    </row>
    <row r="243" spans="1:8" s="23" customFormat="1" ht="27.6" x14ac:dyDescent="0.3">
      <c r="A243" s="3">
        <v>240</v>
      </c>
      <c r="B243" s="4" t="s">
        <v>326</v>
      </c>
      <c r="C243" s="55">
        <v>401030541</v>
      </c>
      <c r="D243" s="57" t="s">
        <v>549</v>
      </c>
      <c r="E243" s="3" t="s">
        <v>9</v>
      </c>
      <c r="F243" s="22">
        <v>42755.16</v>
      </c>
      <c r="G243" s="20">
        <v>0</v>
      </c>
      <c r="H243" s="48">
        <f t="shared" si="5"/>
        <v>0</v>
      </c>
    </row>
    <row r="244" spans="1:8" s="23" customFormat="1" ht="27.6" x14ac:dyDescent="0.3">
      <c r="A244" s="3">
        <v>241</v>
      </c>
      <c r="B244" s="4" t="s">
        <v>326</v>
      </c>
      <c r="C244" s="55">
        <v>401030641</v>
      </c>
      <c r="D244" s="57" t="s">
        <v>550</v>
      </c>
      <c r="E244" s="3" t="s">
        <v>9</v>
      </c>
      <c r="F244" s="22">
        <v>42755.16</v>
      </c>
      <c r="G244" s="20">
        <v>0</v>
      </c>
      <c r="H244" s="48">
        <f t="shared" si="5"/>
        <v>0</v>
      </c>
    </row>
    <row r="245" spans="1:8" s="23" customFormat="1" ht="27.6" x14ac:dyDescent="0.3">
      <c r="A245" s="3">
        <v>242</v>
      </c>
      <c r="B245" s="4" t="s">
        <v>326</v>
      </c>
      <c r="C245" s="56"/>
      <c r="D245" s="57" t="s">
        <v>551</v>
      </c>
      <c r="E245" s="3" t="s">
        <v>9</v>
      </c>
      <c r="F245" s="22">
        <v>18458.28</v>
      </c>
      <c r="G245" s="20">
        <v>0</v>
      </c>
      <c r="H245" s="48">
        <f t="shared" si="5"/>
        <v>0</v>
      </c>
    </row>
    <row r="246" spans="1:8" s="23" customFormat="1" ht="41.4" x14ac:dyDescent="0.3">
      <c r="A246" s="3">
        <v>243</v>
      </c>
      <c r="B246" s="4" t="s">
        <v>326</v>
      </c>
      <c r="C246" s="55">
        <v>401033441</v>
      </c>
      <c r="D246" s="57" t="s">
        <v>552</v>
      </c>
      <c r="E246" s="3" t="s">
        <v>9</v>
      </c>
      <c r="F246" s="22">
        <v>37447.22</v>
      </c>
      <c r="G246" s="20">
        <v>0</v>
      </c>
      <c r="H246" s="48">
        <f t="shared" si="5"/>
        <v>0</v>
      </c>
    </row>
    <row r="247" spans="1:8" s="23" customFormat="1" x14ac:dyDescent="0.3">
      <c r="A247" s="3">
        <v>244</v>
      </c>
      <c r="B247" s="4" t="s">
        <v>326</v>
      </c>
      <c r="C247" s="55">
        <v>401010541</v>
      </c>
      <c r="D247" s="57" t="s">
        <v>553</v>
      </c>
      <c r="E247" s="3" t="s">
        <v>9</v>
      </c>
      <c r="F247" s="22">
        <v>7410.32</v>
      </c>
      <c r="G247" s="20">
        <v>0</v>
      </c>
      <c r="H247" s="48">
        <f t="shared" si="5"/>
        <v>0</v>
      </c>
    </row>
    <row r="248" spans="1:8" s="23" customFormat="1" x14ac:dyDescent="0.3">
      <c r="A248" s="3">
        <v>245</v>
      </c>
      <c r="B248" s="4" t="s">
        <v>326</v>
      </c>
      <c r="C248" s="55">
        <v>401031141</v>
      </c>
      <c r="D248" s="57" t="s">
        <v>554</v>
      </c>
      <c r="E248" s="3" t="s">
        <v>9</v>
      </c>
      <c r="F248" s="22">
        <v>12060.58</v>
      </c>
      <c r="G248" s="20">
        <v>0</v>
      </c>
      <c r="H248" s="48">
        <f t="shared" si="5"/>
        <v>0</v>
      </c>
    </row>
    <row r="249" spans="1:8" s="23" customFormat="1" x14ac:dyDescent="0.3">
      <c r="A249" s="3">
        <v>246</v>
      </c>
      <c r="B249" s="4" t="s">
        <v>326</v>
      </c>
      <c r="C249" s="55">
        <v>401030241</v>
      </c>
      <c r="D249" s="57" t="s">
        <v>555</v>
      </c>
      <c r="E249" s="3" t="s">
        <v>9</v>
      </c>
      <c r="F249" s="22">
        <v>6658.41</v>
      </c>
      <c r="G249" s="20">
        <v>0</v>
      </c>
      <c r="H249" s="48">
        <f t="shared" si="5"/>
        <v>0</v>
      </c>
    </row>
    <row r="250" spans="1:8" s="23" customFormat="1" ht="27.6" x14ac:dyDescent="0.3">
      <c r="A250" s="3">
        <v>247</v>
      </c>
      <c r="B250" s="4" t="s">
        <v>326</v>
      </c>
      <c r="C250" s="55">
        <v>401032041</v>
      </c>
      <c r="D250" s="57" t="s">
        <v>556</v>
      </c>
      <c r="E250" s="3" t="s">
        <v>9</v>
      </c>
      <c r="F250" s="22">
        <v>11176.56</v>
      </c>
      <c r="G250" s="20">
        <v>0</v>
      </c>
      <c r="H250" s="48">
        <f t="shared" si="5"/>
        <v>0</v>
      </c>
    </row>
    <row r="251" spans="1:8" s="23" customFormat="1" x14ac:dyDescent="0.3">
      <c r="A251" s="3">
        <v>248</v>
      </c>
      <c r="B251" s="4" t="s">
        <v>326</v>
      </c>
      <c r="C251" s="55">
        <v>401033341</v>
      </c>
      <c r="D251" s="4" t="s">
        <v>557</v>
      </c>
      <c r="E251" s="3" t="s">
        <v>9</v>
      </c>
      <c r="F251" s="22">
        <v>10203.01</v>
      </c>
      <c r="G251" s="20">
        <v>0</v>
      </c>
      <c r="H251" s="48">
        <f t="shared" si="5"/>
        <v>0</v>
      </c>
    </row>
    <row r="252" spans="1:8" s="23" customFormat="1" ht="27.6" x14ac:dyDescent="0.3">
      <c r="A252" s="3">
        <v>249</v>
      </c>
      <c r="B252" s="4" t="s">
        <v>326</v>
      </c>
      <c r="C252" s="55">
        <v>401031541</v>
      </c>
      <c r="D252" s="57" t="s">
        <v>558</v>
      </c>
      <c r="E252" s="3" t="s">
        <v>9</v>
      </c>
      <c r="F252" s="22">
        <v>11892.85</v>
      </c>
      <c r="G252" s="20">
        <v>0</v>
      </c>
      <c r="H252" s="48">
        <f t="shared" si="5"/>
        <v>0</v>
      </c>
    </row>
    <row r="253" spans="1:8" s="23" customFormat="1" ht="27.6" x14ac:dyDescent="0.3">
      <c r="A253" s="3">
        <v>250</v>
      </c>
      <c r="B253" s="4" t="s">
        <v>326</v>
      </c>
      <c r="C253" s="55">
        <v>401032641</v>
      </c>
      <c r="D253" s="57" t="s">
        <v>559</v>
      </c>
      <c r="E253" s="3" t="s">
        <v>9</v>
      </c>
      <c r="F253" s="22">
        <v>10187.64</v>
      </c>
      <c r="G253" s="20">
        <v>0</v>
      </c>
      <c r="H253" s="48">
        <f t="shared" si="5"/>
        <v>0</v>
      </c>
    </row>
    <row r="254" spans="1:8" s="23" customFormat="1" x14ac:dyDescent="0.3">
      <c r="A254" s="3">
        <v>251</v>
      </c>
      <c r="B254" s="4" t="s">
        <v>326</v>
      </c>
      <c r="C254" s="55">
        <v>401031741</v>
      </c>
      <c r="D254" s="57" t="s">
        <v>560</v>
      </c>
      <c r="E254" s="3" t="s">
        <v>9</v>
      </c>
      <c r="F254" s="22">
        <v>22776.81</v>
      </c>
      <c r="G254" s="20">
        <v>0</v>
      </c>
      <c r="H254" s="48">
        <f t="shared" si="5"/>
        <v>0</v>
      </c>
    </row>
    <row r="255" spans="1:8" s="23" customFormat="1" ht="27.6" x14ac:dyDescent="0.3">
      <c r="A255" s="3">
        <v>252</v>
      </c>
      <c r="B255" s="4" t="s">
        <v>326</v>
      </c>
      <c r="C255" s="55">
        <v>401031941</v>
      </c>
      <c r="D255" s="57" t="s">
        <v>561</v>
      </c>
      <c r="E255" s="3" t="s">
        <v>9</v>
      </c>
      <c r="F255" s="22">
        <v>1005243.06</v>
      </c>
      <c r="G255" s="20">
        <v>0</v>
      </c>
      <c r="H255" s="48">
        <f t="shared" si="5"/>
        <v>0</v>
      </c>
    </row>
    <row r="256" spans="1:8" s="23" customFormat="1" ht="27.6" x14ac:dyDescent="0.3">
      <c r="A256" s="3">
        <v>253</v>
      </c>
      <c r="B256" s="4" t="s">
        <v>326</v>
      </c>
      <c r="C256" s="56"/>
      <c r="D256" s="57" t="s">
        <v>562</v>
      </c>
      <c r="E256" s="3" t="s">
        <v>9</v>
      </c>
      <c r="F256" s="22">
        <v>4056.64</v>
      </c>
      <c r="G256" s="20">
        <v>0</v>
      </c>
      <c r="H256" s="48">
        <f t="shared" si="5"/>
        <v>0</v>
      </c>
    </row>
    <row r="257" spans="1:8" s="23" customFormat="1" x14ac:dyDescent="0.3">
      <c r="A257" s="3">
        <v>254</v>
      </c>
      <c r="B257" s="4" t="s">
        <v>326</v>
      </c>
      <c r="C257" s="55">
        <v>902020741</v>
      </c>
      <c r="D257" s="57" t="s">
        <v>563</v>
      </c>
      <c r="E257" s="3" t="s">
        <v>9</v>
      </c>
      <c r="F257" s="22">
        <v>5.22</v>
      </c>
      <c r="G257" s="20">
        <v>0</v>
      </c>
      <c r="H257" s="48">
        <f t="shared" si="5"/>
        <v>0</v>
      </c>
    </row>
    <row r="258" spans="1:8" s="23" customFormat="1" x14ac:dyDescent="0.3">
      <c r="A258" s="3">
        <v>255</v>
      </c>
      <c r="B258" s="4" t="s">
        <v>326</v>
      </c>
      <c r="C258" s="55">
        <v>902021141</v>
      </c>
      <c r="D258" s="57" t="s">
        <v>564</v>
      </c>
      <c r="E258" s="3" t="s">
        <v>9</v>
      </c>
      <c r="F258" s="22">
        <v>9.0399999999999991</v>
      </c>
      <c r="G258" s="20">
        <v>0</v>
      </c>
      <c r="H258" s="48">
        <f t="shared" si="5"/>
        <v>0</v>
      </c>
    </row>
    <row r="259" spans="1:8" s="23" customFormat="1" x14ac:dyDescent="0.3">
      <c r="A259" s="3">
        <v>256</v>
      </c>
      <c r="B259" s="4" t="s">
        <v>326</v>
      </c>
      <c r="C259" s="55">
        <v>902020841</v>
      </c>
      <c r="D259" s="57" t="s">
        <v>565</v>
      </c>
      <c r="E259" s="3" t="s">
        <v>9</v>
      </c>
      <c r="F259" s="22">
        <v>10.62</v>
      </c>
      <c r="G259" s="20">
        <v>0</v>
      </c>
      <c r="H259" s="48">
        <f t="shared" si="5"/>
        <v>0</v>
      </c>
    </row>
    <row r="260" spans="1:8" s="23" customFormat="1" x14ac:dyDescent="0.3">
      <c r="A260" s="3">
        <v>257</v>
      </c>
      <c r="B260" s="4" t="s">
        <v>326</v>
      </c>
      <c r="C260" s="55">
        <v>902020941</v>
      </c>
      <c r="D260" s="57" t="s">
        <v>566</v>
      </c>
      <c r="E260" s="3" t="s">
        <v>9</v>
      </c>
      <c r="F260" s="22">
        <v>10.62</v>
      </c>
      <c r="G260" s="20">
        <v>0</v>
      </c>
      <c r="H260" s="48">
        <f t="shared" si="5"/>
        <v>0</v>
      </c>
    </row>
    <row r="261" spans="1:8" s="23" customFormat="1" x14ac:dyDescent="0.3">
      <c r="A261" s="3">
        <v>258</v>
      </c>
      <c r="B261" s="4" t="s">
        <v>326</v>
      </c>
      <c r="C261" s="55">
        <v>912011941</v>
      </c>
      <c r="D261" s="57" t="s">
        <v>567</v>
      </c>
      <c r="E261" s="3" t="s">
        <v>9</v>
      </c>
      <c r="F261" s="22">
        <v>93315.1</v>
      </c>
      <c r="G261" s="20">
        <v>0</v>
      </c>
      <c r="H261" s="48">
        <f t="shared" si="5"/>
        <v>0</v>
      </c>
    </row>
    <row r="262" spans="1:8" x14ac:dyDescent="0.3">
      <c r="A262" s="3">
        <v>259</v>
      </c>
      <c r="B262" s="4" t="s">
        <v>326</v>
      </c>
      <c r="C262" s="55">
        <v>504122341</v>
      </c>
      <c r="D262" s="57" t="s">
        <v>568</v>
      </c>
      <c r="E262" s="55" t="s">
        <v>9</v>
      </c>
      <c r="F262" s="5">
        <v>85.21</v>
      </c>
      <c r="G262" s="4">
        <v>0</v>
      </c>
      <c r="H262" s="26">
        <f t="shared" si="5"/>
        <v>0</v>
      </c>
    </row>
    <row r="263" spans="1:8" x14ac:dyDescent="0.3">
      <c r="A263" s="3">
        <v>260</v>
      </c>
      <c r="B263" s="4" t="s">
        <v>326</v>
      </c>
      <c r="C263" s="55">
        <v>504122141</v>
      </c>
      <c r="D263" s="57" t="s">
        <v>569</v>
      </c>
      <c r="E263" s="55" t="s">
        <v>9</v>
      </c>
      <c r="F263" s="5">
        <v>109.23</v>
      </c>
      <c r="G263" s="4">
        <v>0</v>
      </c>
      <c r="H263" s="26">
        <f t="shared" si="5"/>
        <v>0</v>
      </c>
    </row>
    <row r="264" spans="1:8" x14ac:dyDescent="0.3">
      <c r="A264" s="3">
        <v>261</v>
      </c>
      <c r="B264" s="4" t="s">
        <v>326</v>
      </c>
      <c r="C264" s="55">
        <v>504122241</v>
      </c>
      <c r="D264" s="57" t="s">
        <v>570</v>
      </c>
      <c r="E264" s="55" t="s">
        <v>9</v>
      </c>
      <c r="F264" s="5">
        <v>174.94</v>
      </c>
      <c r="G264" s="4">
        <v>0</v>
      </c>
      <c r="H264" s="26">
        <f t="shared" si="5"/>
        <v>0</v>
      </c>
    </row>
    <row r="265" spans="1:8" x14ac:dyDescent="0.3">
      <c r="A265" s="3">
        <v>262</v>
      </c>
      <c r="B265" s="4" t="s">
        <v>326</v>
      </c>
      <c r="C265" s="55">
        <v>504122441</v>
      </c>
      <c r="D265" s="57" t="s">
        <v>571</v>
      </c>
      <c r="E265" s="55" t="s">
        <v>9</v>
      </c>
      <c r="F265" s="5">
        <v>649.37</v>
      </c>
      <c r="G265" s="4">
        <v>0</v>
      </c>
      <c r="H265" s="26">
        <f t="shared" si="5"/>
        <v>0</v>
      </c>
    </row>
    <row r="266" spans="1:8" x14ac:dyDescent="0.3">
      <c r="A266" s="3">
        <v>263</v>
      </c>
      <c r="B266" s="4" t="s">
        <v>326</v>
      </c>
      <c r="C266" s="55">
        <v>504122541</v>
      </c>
      <c r="D266" s="57" t="s">
        <v>572</v>
      </c>
      <c r="E266" s="55" t="s">
        <v>9</v>
      </c>
      <c r="F266" s="5">
        <v>1385.33</v>
      </c>
      <c r="G266" s="4">
        <v>0</v>
      </c>
      <c r="H266" s="26">
        <f t="shared" si="5"/>
        <v>0</v>
      </c>
    </row>
    <row r="267" spans="1:8" x14ac:dyDescent="0.3">
      <c r="A267" s="3">
        <v>264</v>
      </c>
      <c r="B267" s="4" t="s">
        <v>326</v>
      </c>
      <c r="C267" s="55">
        <v>504122641</v>
      </c>
      <c r="D267" s="57" t="s">
        <v>573</v>
      </c>
      <c r="E267" s="55" t="s">
        <v>9</v>
      </c>
      <c r="F267" s="5">
        <v>2335.5</v>
      </c>
      <c r="G267" s="4">
        <v>0</v>
      </c>
      <c r="H267" s="26">
        <f t="shared" si="5"/>
        <v>0</v>
      </c>
    </row>
    <row r="268" spans="1:8" x14ac:dyDescent="0.3">
      <c r="A268" s="3">
        <v>265</v>
      </c>
      <c r="B268" s="4" t="s">
        <v>326</v>
      </c>
      <c r="C268" s="55">
        <v>504122741</v>
      </c>
      <c r="D268" s="57" t="s">
        <v>574</v>
      </c>
      <c r="E268" s="55" t="s">
        <v>9</v>
      </c>
      <c r="F268" s="5">
        <v>3425.13</v>
      </c>
      <c r="G268" s="4">
        <v>0</v>
      </c>
      <c r="H268" s="26">
        <f t="shared" si="5"/>
        <v>0</v>
      </c>
    </row>
    <row r="269" spans="1:8" x14ac:dyDescent="0.3">
      <c r="A269" s="3">
        <v>266</v>
      </c>
      <c r="B269" s="4" t="s">
        <v>326</v>
      </c>
      <c r="C269" s="55">
        <v>504122841</v>
      </c>
      <c r="D269" s="57" t="s">
        <v>575</v>
      </c>
      <c r="E269" s="55" t="s">
        <v>9</v>
      </c>
      <c r="F269" s="5">
        <v>4080.77</v>
      </c>
      <c r="G269" s="4">
        <v>0</v>
      </c>
      <c r="H269" s="26">
        <f t="shared" si="5"/>
        <v>0</v>
      </c>
    </row>
    <row r="270" spans="1:8" x14ac:dyDescent="0.3">
      <c r="A270" s="3">
        <v>267</v>
      </c>
      <c r="B270" s="4" t="s">
        <v>576</v>
      </c>
      <c r="C270" s="3">
        <v>113020641</v>
      </c>
      <c r="D270" s="4" t="s">
        <v>704</v>
      </c>
      <c r="E270" s="55" t="s">
        <v>9</v>
      </c>
      <c r="F270" s="5">
        <v>1294.3699999999999</v>
      </c>
      <c r="G270" s="4">
        <v>0</v>
      </c>
      <c r="H270" s="26">
        <f t="shared" si="5"/>
        <v>0</v>
      </c>
    </row>
    <row r="271" spans="1:8" x14ac:dyDescent="0.3">
      <c r="A271" s="3">
        <v>268</v>
      </c>
      <c r="B271" s="4" t="s">
        <v>576</v>
      </c>
      <c r="C271" s="3">
        <v>113020741</v>
      </c>
      <c r="D271" s="4" t="s">
        <v>705</v>
      </c>
      <c r="E271" s="55" t="s">
        <v>9</v>
      </c>
      <c r="F271" s="5">
        <v>1314.19</v>
      </c>
      <c r="G271" s="4">
        <v>0</v>
      </c>
      <c r="H271" s="26">
        <f t="shared" si="5"/>
        <v>0</v>
      </c>
    </row>
    <row r="272" spans="1:8" x14ac:dyDescent="0.3">
      <c r="A272" s="3">
        <v>269</v>
      </c>
      <c r="B272" s="4" t="s">
        <v>576</v>
      </c>
      <c r="C272" s="3">
        <v>113020841</v>
      </c>
      <c r="D272" s="4" t="s">
        <v>706</v>
      </c>
      <c r="E272" s="55" t="s">
        <v>9</v>
      </c>
      <c r="F272" s="5">
        <v>1315.56</v>
      </c>
      <c r="G272" s="4">
        <v>0</v>
      </c>
      <c r="H272" s="26">
        <f t="shared" si="5"/>
        <v>0</v>
      </c>
    </row>
    <row r="273" spans="1:8" x14ac:dyDescent="0.3">
      <c r="A273" s="3">
        <v>270</v>
      </c>
      <c r="B273" s="4" t="s">
        <v>576</v>
      </c>
      <c r="C273" s="3">
        <v>113020941</v>
      </c>
      <c r="D273" s="4" t="s">
        <v>707</v>
      </c>
      <c r="E273" s="55" t="s">
        <v>9</v>
      </c>
      <c r="F273" s="5">
        <v>1998.99</v>
      </c>
      <c r="G273" s="4">
        <v>0</v>
      </c>
      <c r="H273" s="26">
        <f t="shared" si="5"/>
        <v>0</v>
      </c>
    </row>
    <row r="274" spans="1:8" x14ac:dyDescent="0.3">
      <c r="A274" s="3">
        <v>271</v>
      </c>
      <c r="B274" s="4" t="s">
        <v>576</v>
      </c>
      <c r="C274" s="3">
        <v>113021141</v>
      </c>
      <c r="D274" s="4" t="s">
        <v>708</v>
      </c>
      <c r="E274" s="55" t="s">
        <v>9</v>
      </c>
      <c r="F274" s="5">
        <v>2259.3000000000002</v>
      </c>
      <c r="G274" s="4">
        <v>0</v>
      </c>
      <c r="H274" s="45">
        <f t="shared" si="5"/>
        <v>0</v>
      </c>
    </row>
    <row r="275" spans="1:8" x14ac:dyDescent="0.3">
      <c r="A275" s="3">
        <v>272</v>
      </c>
      <c r="B275" s="4" t="s">
        <v>576</v>
      </c>
      <c r="C275" s="3">
        <v>113021241</v>
      </c>
      <c r="D275" s="4" t="s">
        <v>709</v>
      </c>
      <c r="E275" s="55" t="s">
        <v>9</v>
      </c>
      <c r="F275" s="47">
        <v>433.67</v>
      </c>
      <c r="G275" s="4">
        <v>0</v>
      </c>
      <c r="H275" s="26">
        <f t="shared" si="5"/>
        <v>0</v>
      </c>
    </row>
    <row r="276" spans="1:8" x14ac:dyDescent="0.3">
      <c r="A276" s="3">
        <v>273</v>
      </c>
      <c r="B276" s="4" t="s">
        <v>576</v>
      </c>
      <c r="C276" s="3">
        <v>113021341</v>
      </c>
      <c r="D276" s="4" t="s">
        <v>710</v>
      </c>
      <c r="E276" s="55" t="s">
        <v>9</v>
      </c>
      <c r="F276" s="47">
        <v>478.12</v>
      </c>
      <c r="G276" s="4">
        <v>0</v>
      </c>
      <c r="H276" s="26">
        <f t="shared" ref="H276:H298" si="6">ROUND(F276*G276,2)</f>
        <v>0</v>
      </c>
    </row>
    <row r="277" spans="1:8" x14ac:dyDescent="0.3">
      <c r="A277" s="3">
        <v>274</v>
      </c>
      <c r="B277" s="4" t="s">
        <v>576</v>
      </c>
      <c r="C277" s="3">
        <v>113021441</v>
      </c>
      <c r="D277" s="4" t="s">
        <v>711</v>
      </c>
      <c r="E277" s="55" t="s">
        <v>9</v>
      </c>
      <c r="F277" s="47">
        <v>523.41</v>
      </c>
      <c r="G277" s="4">
        <v>0</v>
      </c>
      <c r="H277" s="26">
        <f t="shared" si="6"/>
        <v>0</v>
      </c>
    </row>
    <row r="278" spans="1:8" x14ac:dyDescent="0.3">
      <c r="A278" s="3">
        <v>275</v>
      </c>
      <c r="B278" s="4" t="s">
        <v>576</v>
      </c>
      <c r="C278" s="3">
        <v>113021541</v>
      </c>
      <c r="D278" s="4" t="s">
        <v>712</v>
      </c>
      <c r="E278" s="55" t="s">
        <v>9</v>
      </c>
      <c r="F278" s="47">
        <v>1288.0999999999999</v>
      </c>
      <c r="G278" s="4">
        <v>0</v>
      </c>
      <c r="H278" s="26">
        <f t="shared" si="6"/>
        <v>0</v>
      </c>
    </row>
    <row r="279" spans="1:8" x14ac:dyDescent="0.3">
      <c r="A279" s="3">
        <v>276</v>
      </c>
      <c r="B279" s="4" t="s">
        <v>576</v>
      </c>
      <c r="C279" s="3">
        <v>113021641</v>
      </c>
      <c r="D279" s="4" t="s">
        <v>713</v>
      </c>
      <c r="E279" s="55" t="s">
        <v>9</v>
      </c>
      <c r="F279" s="47">
        <v>807.35</v>
      </c>
      <c r="G279" s="4">
        <v>0</v>
      </c>
      <c r="H279" s="26">
        <f t="shared" si="6"/>
        <v>0</v>
      </c>
    </row>
    <row r="280" spans="1:8" x14ac:dyDescent="0.3">
      <c r="A280" s="3">
        <v>277</v>
      </c>
      <c r="B280" s="4" t="s">
        <v>576</v>
      </c>
      <c r="C280" s="3">
        <v>407010241</v>
      </c>
      <c r="D280" s="4" t="s">
        <v>714</v>
      </c>
      <c r="E280" s="55" t="s">
        <v>9</v>
      </c>
      <c r="F280" s="47">
        <v>15366.01</v>
      </c>
      <c r="G280" s="4">
        <v>0</v>
      </c>
      <c r="H280" s="26">
        <f t="shared" si="6"/>
        <v>0</v>
      </c>
    </row>
    <row r="281" spans="1:8" x14ac:dyDescent="0.3">
      <c r="A281" s="3">
        <v>278</v>
      </c>
      <c r="B281" s="4" t="s">
        <v>576</v>
      </c>
      <c r="C281" s="3">
        <v>407010541</v>
      </c>
      <c r="D281" s="4" t="s">
        <v>715</v>
      </c>
      <c r="E281" s="55" t="s">
        <v>9</v>
      </c>
      <c r="F281" s="47">
        <v>10456.61</v>
      </c>
      <c r="G281" s="4">
        <v>0</v>
      </c>
      <c r="H281" s="26">
        <f t="shared" si="6"/>
        <v>0</v>
      </c>
    </row>
    <row r="282" spans="1:8" x14ac:dyDescent="0.3">
      <c r="A282" s="3">
        <v>279</v>
      </c>
      <c r="B282" s="4" t="s">
        <v>576</v>
      </c>
      <c r="C282" s="3">
        <v>407010741</v>
      </c>
      <c r="D282" s="4" t="s">
        <v>716</v>
      </c>
      <c r="E282" s="55" t="s">
        <v>9</v>
      </c>
      <c r="F282" s="47">
        <v>9441.26</v>
      </c>
      <c r="G282" s="4">
        <v>0</v>
      </c>
      <c r="H282" s="26">
        <f t="shared" si="6"/>
        <v>0</v>
      </c>
    </row>
    <row r="283" spans="1:8" x14ac:dyDescent="0.3">
      <c r="A283" s="3">
        <v>280</v>
      </c>
      <c r="B283" s="4" t="s">
        <v>576</v>
      </c>
      <c r="C283" s="3">
        <v>407010641</v>
      </c>
      <c r="D283" s="4" t="s">
        <v>717</v>
      </c>
      <c r="E283" s="55" t="s">
        <v>9</v>
      </c>
      <c r="F283" s="47">
        <v>8878.41</v>
      </c>
      <c r="G283" s="4">
        <v>0</v>
      </c>
      <c r="H283" s="26">
        <f t="shared" si="6"/>
        <v>0</v>
      </c>
    </row>
    <row r="284" spans="1:8" x14ac:dyDescent="0.3">
      <c r="A284" s="3">
        <v>281</v>
      </c>
      <c r="B284" s="4" t="s">
        <v>576</v>
      </c>
      <c r="C284" s="3">
        <v>407010841</v>
      </c>
      <c r="D284" s="4" t="s">
        <v>718</v>
      </c>
      <c r="E284" s="55" t="s">
        <v>9</v>
      </c>
      <c r="F284" s="47">
        <v>17903.46</v>
      </c>
      <c r="G284" s="4">
        <v>0</v>
      </c>
      <c r="H284" s="26">
        <f t="shared" si="6"/>
        <v>0</v>
      </c>
    </row>
    <row r="285" spans="1:8" x14ac:dyDescent="0.3">
      <c r="A285" s="3">
        <v>282</v>
      </c>
      <c r="B285" s="4" t="s">
        <v>576</v>
      </c>
      <c r="C285" s="55">
        <v>912011441</v>
      </c>
      <c r="D285" s="4" t="s">
        <v>719</v>
      </c>
      <c r="E285" s="55" t="s">
        <v>9</v>
      </c>
      <c r="F285" s="47">
        <v>238.7</v>
      </c>
      <c r="G285" s="4">
        <v>0</v>
      </c>
      <c r="H285" s="26">
        <f t="shared" si="6"/>
        <v>0</v>
      </c>
    </row>
    <row r="286" spans="1:8" x14ac:dyDescent="0.3">
      <c r="A286" s="3">
        <v>283</v>
      </c>
      <c r="B286" s="4" t="s">
        <v>576</v>
      </c>
      <c r="C286" s="55">
        <v>912013341</v>
      </c>
      <c r="D286" s="4" t="s">
        <v>720</v>
      </c>
      <c r="E286" s="55" t="s">
        <v>9</v>
      </c>
      <c r="F286" s="47">
        <v>281.47000000000003</v>
      </c>
      <c r="G286" s="4">
        <v>0</v>
      </c>
      <c r="H286" s="26">
        <f t="shared" si="6"/>
        <v>0</v>
      </c>
    </row>
    <row r="287" spans="1:8" x14ac:dyDescent="0.3">
      <c r="A287" s="3">
        <v>284</v>
      </c>
      <c r="B287" s="4" t="s">
        <v>576</v>
      </c>
      <c r="C287" s="55">
        <v>505011141</v>
      </c>
      <c r="D287" s="4" t="s">
        <v>721</v>
      </c>
      <c r="E287" s="55" t="s">
        <v>9</v>
      </c>
      <c r="F287" s="5">
        <v>334</v>
      </c>
      <c r="G287" s="4">
        <v>0</v>
      </c>
      <c r="H287" s="45">
        <f t="shared" si="6"/>
        <v>0</v>
      </c>
    </row>
    <row r="288" spans="1:8" x14ac:dyDescent="0.3">
      <c r="A288" s="3">
        <v>285</v>
      </c>
      <c r="B288" s="4" t="s">
        <v>576</v>
      </c>
      <c r="C288" s="55">
        <v>505010641</v>
      </c>
      <c r="D288" s="4" t="s">
        <v>722</v>
      </c>
      <c r="E288" s="55" t="s">
        <v>9</v>
      </c>
      <c r="F288" s="5">
        <v>187.88</v>
      </c>
      <c r="G288" s="4">
        <v>0</v>
      </c>
      <c r="H288" s="45">
        <f t="shared" si="6"/>
        <v>0</v>
      </c>
    </row>
    <row r="289" spans="1:8" x14ac:dyDescent="0.3">
      <c r="A289" s="3">
        <v>286</v>
      </c>
      <c r="B289" s="4" t="s">
        <v>576</v>
      </c>
      <c r="C289" s="60">
        <v>505031541</v>
      </c>
      <c r="D289" s="61" t="s">
        <v>577</v>
      </c>
      <c r="E289" s="55" t="s">
        <v>1</v>
      </c>
      <c r="F289" s="5">
        <v>47.83</v>
      </c>
      <c r="G289" s="4">
        <v>0</v>
      </c>
      <c r="H289" s="45">
        <f t="shared" si="6"/>
        <v>0</v>
      </c>
    </row>
    <row r="290" spans="1:8" x14ac:dyDescent="0.3">
      <c r="A290" s="3">
        <v>287</v>
      </c>
      <c r="B290" s="4" t="s">
        <v>576</v>
      </c>
      <c r="C290" s="60">
        <v>506010531</v>
      </c>
      <c r="D290" s="4" t="s">
        <v>578</v>
      </c>
      <c r="E290" s="55" t="s">
        <v>10</v>
      </c>
      <c r="F290" s="5">
        <v>59.21</v>
      </c>
      <c r="G290" s="4">
        <v>0</v>
      </c>
      <c r="H290" s="26">
        <f t="shared" si="6"/>
        <v>0</v>
      </c>
    </row>
    <row r="291" spans="1:8" x14ac:dyDescent="0.3">
      <c r="A291" s="3">
        <v>288</v>
      </c>
      <c r="B291" s="4" t="s">
        <v>576</v>
      </c>
      <c r="C291" s="60">
        <v>506010331</v>
      </c>
      <c r="D291" s="4" t="s">
        <v>723</v>
      </c>
      <c r="E291" s="55" t="s">
        <v>10</v>
      </c>
      <c r="F291" s="5">
        <v>45.38</v>
      </c>
      <c r="G291" s="4">
        <v>0</v>
      </c>
      <c r="H291" s="26">
        <f t="shared" si="6"/>
        <v>0</v>
      </c>
    </row>
    <row r="292" spans="1:8" x14ac:dyDescent="0.3">
      <c r="A292" s="3">
        <v>289</v>
      </c>
      <c r="B292" s="4" t="s">
        <v>576</v>
      </c>
      <c r="C292" s="55">
        <v>503020312</v>
      </c>
      <c r="D292" s="4" t="s">
        <v>736</v>
      </c>
      <c r="E292" s="55" t="s">
        <v>189</v>
      </c>
      <c r="F292" s="5">
        <v>477.4</v>
      </c>
      <c r="G292" s="4">
        <v>0</v>
      </c>
      <c r="H292" s="26">
        <f>ROUND(F292*G292,2)</f>
        <v>0</v>
      </c>
    </row>
    <row r="293" spans="1:8" s="23" customFormat="1" x14ac:dyDescent="0.3">
      <c r="A293" s="3">
        <v>290</v>
      </c>
      <c r="B293" s="4" t="s">
        <v>576</v>
      </c>
      <c r="C293" s="55">
        <v>903013545</v>
      </c>
      <c r="D293" s="4" t="s">
        <v>579</v>
      </c>
      <c r="E293" s="55" t="s">
        <v>9</v>
      </c>
      <c r="F293" s="25">
        <v>30</v>
      </c>
      <c r="G293" s="21">
        <v>0</v>
      </c>
      <c r="H293" s="26">
        <f t="shared" si="6"/>
        <v>0</v>
      </c>
    </row>
    <row r="294" spans="1:8" s="23" customFormat="1" x14ac:dyDescent="0.3">
      <c r="A294" s="3">
        <v>291</v>
      </c>
      <c r="B294" s="4" t="s">
        <v>576</v>
      </c>
      <c r="C294" s="55">
        <v>508040641</v>
      </c>
      <c r="D294" s="4" t="s">
        <v>322</v>
      </c>
      <c r="E294" s="55" t="s">
        <v>9</v>
      </c>
      <c r="F294" s="25">
        <v>44.16</v>
      </c>
      <c r="G294" s="21">
        <v>0</v>
      </c>
      <c r="H294" s="26">
        <f t="shared" si="6"/>
        <v>0</v>
      </c>
    </row>
    <row r="295" spans="1:8" x14ac:dyDescent="0.3">
      <c r="A295" s="3">
        <v>292</v>
      </c>
      <c r="B295" s="4" t="s">
        <v>576</v>
      </c>
      <c r="C295" s="55">
        <v>508040441</v>
      </c>
      <c r="D295" s="4" t="s">
        <v>580</v>
      </c>
      <c r="E295" s="55" t="s">
        <v>9</v>
      </c>
      <c r="F295" s="5">
        <v>23.34</v>
      </c>
      <c r="G295" s="4">
        <v>0</v>
      </c>
      <c r="H295" s="26">
        <v>0</v>
      </c>
    </row>
    <row r="296" spans="1:8" x14ac:dyDescent="0.3">
      <c r="A296" s="3">
        <v>293</v>
      </c>
      <c r="B296" s="4" t="s">
        <v>576</v>
      </c>
      <c r="C296" s="55">
        <v>508040341</v>
      </c>
      <c r="D296" s="4" t="s">
        <v>724</v>
      </c>
      <c r="E296" s="55" t="s">
        <v>9</v>
      </c>
      <c r="F296" s="5">
        <v>20</v>
      </c>
      <c r="G296" s="4">
        <v>0</v>
      </c>
      <c r="H296" s="26">
        <f t="shared" si="6"/>
        <v>0</v>
      </c>
    </row>
    <row r="297" spans="1:8" x14ac:dyDescent="0.3">
      <c r="A297" s="3">
        <v>294</v>
      </c>
      <c r="B297" s="4" t="s">
        <v>576</v>
      </c>
      <c r="C297" s="55">
        <v>508040841</v>
      </c>
      <c r="D297" s="4" t="s">
        <v>581</v>
      </c>
      <c r="E297" s="55" t="s">
        <v>9</v>
      </c>
      <c r="F297" s="5">
        <v>52.24</v>
      </c>
      <c r="G297" s="4">
        <v>0</v>
      </c>
      <c r="H297" s="26">
        <f t="shared" si="6"/>
        <v>0</v>
      </c>
    </row>
    <row r="298" spans="1:8" x14ac:dyDescent="0.3">
      <c r="A298" s="3">
        <v>295</v>
      </c>
      <c r="B298" s="4" t="s">
        <v>576</v>
      </c>
      <c r="C298" s="55">
        <v>508040741</v>
      </c>
      <c r="D298" s="4" t="s">
        <v>582</v>
      </c>
      <c r="E298" s="55" t="s">
        <v>9</v>
      </c>
      <c r="F298" s="5">
        <v>21.11</v>
      </c>
      <c r="G298" s="4">
        <v>0</v>
      </c>
      <c r="H298" s="26">
        <f t="shared" si="6"/>
        <v>0</v>
      </c>
    </row>
    <row r="299" spans="1:8" x14ac:dyDescent="0.3">
      <c r="A299" s="3">
        <v>296</v>
      </c>
      <c r="B299" s="4" t="s">
        <v>576</v>
      </c>
      <c r="C299" s="55">
        <v>504070341</v>
      </c>
      <c r="D299" s="4" t="s">
        <v>675</v>
      </c>
      <c r="E299" s="55" t="s">
        <v>9</v>
      </c>
      <c r="F299" s="5">
        <v>35.51</v>
      </c>
      <c r="G299" s="4">
        <v>0</v>
      </c>
      <c r="H299" s="26">
        <f t="shared" ref="H299:H337" si="7">ROUND(F299*G299,2)</f>
        <v>0</v>
      </c>
    </row>
    <row r="300" spans="1:8" x14ac:dyDescent="0.3">
      <c r="A300" s="3">
        <v>297</v>
      </c>
      <c r="B300" s="4" t="s">
        <v>576</v>
      </c>
      <c r="C300" s="60">
        <v>504070641</v>
      </c>
      <c r="D300" s="4" t="s">
        <v>676</v>
      </c>
      <c r="E300" s="55" t="s">
        <v>9</v>
      </c>
      <c r="F300" s="5">
        <v>59.08</v>
      </c>
      <c r="G300" s="4">
        <v>0</v>
      </c>
      <c r="H300" s="26">
        <f t="shared" si="7"/>
        <v>0</v>
      </c>
    </row>
    <row r="301" spans="1:8" x14ac:dyDescent="0.3">
      <c r="A301" s="3">
        <v>298</v>
      </c>
      <c r="B301" s="4" t="s">
        <v>576</v>
      </c>
      <c r="C301" s="55">
        <v>504070441</v>
      </c>
      <c r="D301" s="4" t="s">
        <v>677</v>
      </c>
      <c r="E301" s="55" t="s">
        <v>9</v>
      </c>
      <c r="F301" s="5">
        <v>77.62</v>
      </c>
      <c r="G301" s="4">
        <v>0</v>
      </c>
      <c r="H301" s="26">
        <f t="shared" si="7"/>
        <v>0</v>
      </c>
    </row>
    <row r="302" spans="1:8" x14ac:dyDescent="0.3">
      <c r="A302" s="3">
        <v>299</v>
      </c>
      <c r="B302" s="4" t="s">
        <v>576</v>
      </c>
      <c r="C302" s="55">
        <v>504070541</v>
      </c>
      <c r="D302" s="4" t="s">
        <v>678</v>
      </c>
      <c r="E302" s="55" t="s">
        <v>9</v>
      </c>
      <c r="F302" s="5">
        <v>94.79</v>
      </c>
      <c r="G302" s="4">
        <v>0</v>
      </c>
      <c r="H302" s="26">
        <f t="shared" si="7"/>
        <v>0</v>
      </c>
    </row>
    <row r="303" spans="1:8" x14ac:dyDescent="0.3">
      <c r="A303" s="3">
        <v>300</v>
      </c>
      <c r="B303" s="4" t="s">
        <v>576</v>
      </c>
      <c r="C303" s="55">
        <v>504042641</v>
      </c>
      <c r="D303" s="4" t="s">
        <v>583</v>
      </c>
      <c r="E303" s="55" t="s">
        <v>9</v>
      </c>
      <c r="F303" s="5">
        <v>5188.33</v>
      </c>
      <c r="G303" s="4">
        <v>0</v>
      </c>
      <c r="H303" s="26">
        <f t="shared" si="7"/>
        <v>0</v>
      </c>
    </row>
    <row r="304" spans="1:8" x14ac:dyDescent="0.3">
      <c r="A304" s="3">
        <v>301</v>
      </c>
      <c r="B304" s="4" t="s">
        <v>576</v>
      </c>
      <c r="C304" s="55">
        <v>504043241</v>
      </c>
      <c r="D304" s="4" t="s">
        <v>584</v>
      </c>
      <c r="E304" s="55" t="s">
        <v>9</v>
      </c>
      <c r="F304" s="5">
        <v>5833.67</v>
      </c>
      <c r="G304" s="4">
        <v>0</v>
      </c>
      <c r="H304" s="26">
        <f t="shared" si="7"/>
        <v>0</v>
      </c>
    </row>
    <row r="305" spans="1:8" x14ac:dyDescent="0.3">
      <c r="A305" s="3">
        <v>302</v>
      </c>
      <c r="B305" s="4" t="s">
        <v>576</v>
      </c>
      <c r="C305" s="55">
        <v>504043841</v>
      </c>
      <c r="D305" s="4" t="s">
        <v>585</v>
      </c>
      <c r="E305" s="55" t="s">
        <v>9</v>
      </c>
      <c r="F305" s="47">
        <v>7242.94</v>
      </c>
      <c r="G305" s="4">
        <v>0</v>
      </c>
      <c r="H305" s="26">
        <f t="shared" si="7"/>
        <v>0</v>
      </c>
    </row>
    <row r="306" spans="1:8" x14ac:dyDescent="0.3">
      <c r="A306" s="3">
        <v>303</v>
      </c>
      <c r="B306" s="4" t="s">
        <v>576</v>
      </c>
      <c r="C306" s="55">
        <v>504042541</v>
      </c>
      <c r="D306" s="4" t="s">
        <v>586</v>
      </c>
      <c r="E306" s="55" t="s">
        <v>9</v>
      </c>
      <c r="F306" s="5">
        <v>6863.1</v>
      </c>
      <c r="G306" s="4">
        <v>0</v>
      </c>
      <c r="H306" s="26">
        <f t="shared" si="7"/>
        <v>0</v>
      </c>
    </row>
    <row r="307" spans="1:8" x14ac:dyDescent="0.3">
      <c r="A307" s="3">
        <v>304</v>
      </c>
      <c r="B307" s="4" t="s">
        <v>576</v>
      </c>
      <c r="C307" s="55">
        <v>504043141</v>
      </c>
      <c r="D307" s="4" t="s">
        <v>587</v>
      </c>
      <c r="E307" s="55" t="s">
        <v>9</v>
      </c>
      <c r="F307" s="5">
        <v>8166.53</v>
      </c>
      <c r="G307" s="4">
        <v>0</v>
      </c>
      <c r="H307" s="26">
        <f t="shared" si="7"/>
        <v>0</v>
      </c>
    </row>
    <row r="308" spans="1:8" x14ac:dyDescent="0.3">
      <c r="A308" s="3">
        <v>305</v>
      </c>
      <c r="B308" s="4" t="s">
        <v>576</v>
      </c>
      <c r="C308" s="55">
        <v>504043741</v>
      </c>
      <c r="D308" s="4" t="s">
        <v>588</v>
      </c>
      <c r="E308" s="55" t="s">
        <v>9</v>
      </c>
      <c r="F308" s="5">
        <v>8963.6299999999992</v>
      </c>
      <c r="G308" s="4">
        <v>0</v>
      </c>
      <c r="H308" s="26">
        <f t="shared" si="7"/>
        <v>0</v>
      </c>
    </row>
    <row r="309" spans="1:8" x14ac:dyDescent="0.3">
      <c r="A309" s="3">
        <v>306</v>
      </c>
      <c r="B309" s="4" t="s">
        <v>576</v>
      </c>
      <c r="C309" s="55">
        <v>504042741</v>
      </c>
      <c r="D309" s="4" t="s">
        <v>589</v>
      </c>
      <c r="E309" s="55" t="s">
        <v>9</v>
      </c>
      <c r="F309" s="5">
        <v>13095.63</v>
      </c>
      <c r="G309" s="4">
        <v>0</v>
      </c>
      <c r="H309" s="26">
        <f t="shared" si="7"/>
        <v>0</v>
      </c>
    </row>
    <row r="310" spans="1:8" x14ac:dyDescent="0.3">
      <c r="A310" s="3">
        <v>307</v>
      </c>
      <c r="B310" s="4" t="s">
        <v>576</v>
      </c>
      <c r="C310" s="55">
        <v>504057941</v>
      </c>
      <c r="D310" s="4" t="s">
        <v>590</v>
      </c>
      <c r="E310" s="55" t="s">
        <v>9</v>
      </c>
      <c r="F310" s="25">
        <v>16285.44</v>
      </c>
      <c r="G310" s="21">
        <v>0</v>
      </c>
      <c r="H310" s="26">
        <f t="shared" si="7"/>
        <v>0</v>
      </c>
    </row>
    <row r="311" spans="1:8" x14ac:dyDescent="0.3">
      <c r="A311" s="3">
        <v>308</v>
      </c>
      <c r="B311" s="4" t="s">
        <v>576</v>
      </c>
      <c r="C311" s="55">
        <v>504043941</v>
      </c>
      <c r="D311" s="4" t="s">
        <v>591</v>
      </c>
      <c r="E311" s="55" t="s">
        <v>9</v>
      </c>
      <c r="F311" s="47">
        <v>17000</v>
      </c>
      <c r="G311" s="4">
        <v>0</v>
      </c>
      <c r="H311" s="26">
        <f t="shared" si="7"/>
        <v>0</v>
      </c>
    </row>
    <row r="312" spans="1:8" x14ac:dyDescent="0.3">
      <c r="A312" s="3">
        <v>309</v>
      </c>
      <c r="B312" s="4" t="s">
        <v>576</v>
      </c>
      <c r="C312" s="55">
        <v>504047341</v>
      </c>
      <c r="D312" s="4" t="s">
        <v>725</v>
      </c>
      <c r="E312" s="55" t="s">
        <v>9</v>
      </c>
      <c r="F312" s="47">
        <v>17779.39</v>
      </c>
      <c r="G312" s="4">
        <v>0</v>
      </c>
      <c r="H312" s="26">
        <f t="shared" si="7"/>
        <v>0</v>
      </c>
    </row>
    <row r="313" spans="1:8" s="23" customFormat="1" x14ac:dyDescent="0.3">
      <c r="A313" s="3">
        <v>310</v>
      </c>
      <c r="B313" s="4" t="s">
        <v>576</v>
      </c>
      <c r="C313" s="55">
        <v>504045041</v>
      </c>
      <c r="D313" s="4" t="s">
        <v>759</v>
      </c>
      <c r="E313" s="55" t="s">
        <v>9</v>
      </c>
      <c r="F313" s="52">
        <v>17099.22</v>
      </c>
      <c r="G313" s="4">
        <v>0</v>
      </c>
      <c r="H313" s="26">
        <f t="shared" si="7"/>
        <v>0</v>
      </c>
    </row>
    <row r="314" spans="1:8" x14ac:dyDescent="0.3">
      <c r="A314" s="3">
        <v>311</v>
      </c>
      <c r="B314" s="4" t="s">
        <v>576</v>
      </c>
      <c r="C314" s="55">
        <v>504045641</v>
      </c>
      <c r="D314" s="4" t="s">
        <v>683</v>
      </c>
      <c r="E314" s="55" t="s">
        <v>9</v>
      </c>
      <c r="F314" s="47">
        <v>18155.46</v>
      </c>
      <c r="G314" s="4">
        <v>0</v>
      </c>
      <c r="H314" s="26">
        <f t="shared" si="7"/>
        <v>0</v>
      </c>
    </row>
    <row r="315" spans="1:8" x14ac:dyDescent="0.3">
      <c r="A315" s="3">
        <v>312</v>
      </c>
      <c r="B315" s="4" t="s">
        <v>576</v>
      </c>
      <c r="C315" s="55">
        <v>504045941</v>
      </c>
      <c r="D315" s="4" t="s">
        <v>726</v>
      </c>
      <c r="E315" s="55" t="s">
        <v>9</v>
      </c>
      <c r="F315" s="47">
        <v>19392.95</v>
      </c>
      <c r="G315" s="4">
        <v>0</v>
      </c>
      <c r="H315" s="26">
        <f t="shared" si="7"/>
        <v>0</v>
      </c>
    </row>
    <row r="316" spans="1:8" x14ac:dyDescent="0.3">
      <c r="A316" s="3">
        <v>313</v>
      </c>
      <c r="B316" s="4" t="s">
        <v>576</v>
      </c>
      <c r="C316" s="55">
        <v>504049741</v>
      </c>
      <c r="D316" s="4" t="s">
        <v>760</v>
      </c>
      <c r="E316" s="55" t="s">
        <v>9</v>
      </c>
      <c r="F316" s="47">
        <v>7096.74</v>
      </c>
      <c r="G316" s="4">
        <v>0</v>
      </c>
      <c r="H316" s="26">
        <f t="shared" si="7"/>
        <v>0</v>
      </c>
    </row>
    <row r="317" spans="1:8" x14ac:dyDescent="0.3">
      <c r="A317" s="3">
        <v>314</v>
      </c>
      <c r="B317" s="4" t="s">
        <v>576</v>
      </c>
      <c r="C317" s="55">
        <v>504044941</v>
      </c>
      <c r="D317" s="4" t="s">
        <v>680</v>
      </c>
      <c r="E317" s="55" t="s">
        <v>9</v>
      </c>
      <c r="F317" s="47">
        <v>19139.45</v>
      </c>
      <c r="G317" s="4">
        <v>0</v>
      </c>
      <c r="H317" s="26">
        <f t="shared" si="7"/>
        <v>0</v>
      </c>
    </row>
    <row r="318" spans="1:8" x14ac:dyDescent="0.3">
      <c r="A318" s="3">
        <v>315</v>
      </c>
      <c r="B318" s="4" t="s">
        <v>576</v>
      </c>
      <c r="C318" s="55">
        <v>504045541</v>
      </c>
      <c r="D318" s="4" t="s">
        <v>681</v>
      </c>
      <c r="E318" s="55" t="s">
        <v>9</v>
      </c>
      <c r="F318" s="47">
        <v>24604.720000000001</v>
      </c>
      <c r="G318" s="4">
        <v>0</v>
      </c>
      <c r="H318" s="26">
        <f t="shared" si="7"/>
        <v>0</v>
      </c>
    </row>
    <row r="319" spans="1:8" x14ac:dyDescent="0.3">
      <c r="A319" s="3">
        <v>316</v>
      </c>
      <c r="B319" s="4" t="s">
        <v>576</v>
      </c>
      <c r="C319" s="55">
        <v>504045841</v>
      </c>
      <c r="D319" s="4" t="s">
        <v>682</v>
      </c>
      <c r="E319" s="55" t="s">
        <v>9</v>
      </c>
      <c r="F319" s="47">
        <v>26532.720000000001</v>
      </c>
      <c r="G319" s="4">
        <v>0</v>
      </c>
      <c r="H319" s="26">
        <f t="shared" si="7"/>
        <v>0</v>
      </c>
    </row>
    <row r="320" spans="1:8" x14ac:dyDescent="0.3">
      <c r="A320" s="3"/>
      <c r="B320" s="4" t="s">
        <v>576</v>
      </c>
      <c r="C320" s="55">
        <v>504049541</v>
      </c>
      <c r="D320" s="4" t="s">
        <v>761</v>
      </c>
      <c r="E320" s="55" t="s">
        <v>9</v>
      </c>
      <c r="F320" s="47">
        <v>8761.41</v>
      </c>
      <c r="G320" s="4">
        <v>0</v>
      </c>
      <c r="H320" s="26">
        <f t="shared" si="7"/>
        <v>0</v>
      </c>
    </row>
    <row r="321" spans="1:8" x14ac:dyDescent="0.3">
      <c r="A321" s="3">
        <v>318</v>
      </c>
      <c r="B321" s="4" t="s">
        <v>576</v>
      </c>
      <c r="C321" s="55">
        <v>504045141</v>
      </c>
      <c r="D321" s="4" t="s">
        <v>590</v>
      </c>
      <c r="E321" s="55" t="s">
        <v>9</v>
      </c>
      <c r="F321" s="47">
        <v>40255.18</v>
      </c>
      <c r="G321" s="4">
        <v>0</v>
      </c>
      <c r="H321" s="26">
        <f t="shared" si="7"/>
        <v>0</v>
      </c>
    </row>
    <row r="322" spans="1:8" x14ac:dyDescent="0.3">
      <c r="A322" s="3">
        <v>319</v>
      </c>
      <c r="B322" s="4" t="s">
        <v>576</v>
      </c>
      <c r="C322" s="55">
        <v>504045741</v>
      </c>
      <c r="D322" s="4" t="s">
        <v>591</v>
      </c>
      <c r="E322" s="55" t="s">
        <v>9</v>
      </c>
      <c r="F322" s="47">
        <v>41448.160000000003</v>
      </c>
      <c r="G322" s="4">
        <v>0</v>
      </c>
      <c r="H322" s="26">
        <f t="shared" si="7"/>
        <v>0</v>
      </c>
    </row>
    <row r="323" spans="1:8" x14ac:dyDescent="0.3">
      <c r="A323" s="3">
        <v>320</v>
      </c>
      <c r="B323" s="4" t="s">
        <v>576</v>
      </c>
      <c r="C323" s="55">
        <v>504046041</v>
      </c>
      <c r="D323" s="4" t="s">
        <v>725</v>
      </c>
      <c r="E323" s="55" t="s">
        <v>9</v>
      </c>
      <c r="F323" s="47">
        <v>42778.21</v>
      </c>
      <c r="G323" s="4">
        <v>0</v>
      </c>
      <c r="H323" s="26">
        <f t="shared" si="7"/>
        <v>0</v>
      </c>
    </row>
    <row r="324" spans="1:8" x14ac:dyDescent="0.3">
      <c r="A324" s="3"/>
      <c r="B324" s="4" t="s">
        <v>576</v>
      </c>
      <c r="C324" s="55">
        <v>504049641</v>
      </c>
      <c r="D324" s="4" t="s">
        <v>762</v>
      </c>
      <c r="E324" s="55" t="s">
        <v>9</v>
      </c>
      <c r="F324" s="47">
        <v>19713.16</v>
      </c>
      <c r="G324" s="4">
        <v>0</v>
      </c>
      <c r="H324" s="26">
        <f t="shared" si="7"/>
        <v>0</v>
      </c>
    </row>
    <row r="325" spans="1:8" x14ac:dyDescent="0.3">
      <c r="A325" s="3">
        <v>321</v>
      </c>
      <c r="B325" s="4" t="s">
        <v>576</v>
      </c>
      <c r="C325" s="55">
        <v>504054141</v>
      </c>
      <c r="D325" s="4" t="s">
        <v>592</v>
      </c>
      <c r="E325" s="55" t="s">
        <v>9</v>
      </c>
      <c r="F325" s="47">
        <v>1586.81</v>
      </c>
      <c r="G325" s="4">
        <v>0</v>
      </c>
      <c r="H325" s="26">
        <f t="shared" si="7"/>
        <v>0</v>
      </c>
    </row>
    <row r="326" spans="1:8" x14ac:dyDescent="0.3">
      <c r="A326" s="3">
        <v>322</v>
      </c>
      <c r="B326" s="4" t="s">
        <v>576</v>
      </c>
      <c r="C326" s="55">
        <v>504054341</v>
      </c>
      <c r="D326" s="4" t="s">
        <v>593</v>
      </c>
      <c r="E326" s="55" t="s">
        <v>9</v>
      </c>
      <c r="F326" s="47">
        <v>2605.34</v>
      </c>
      <c r="G326" s="4">
        <v>0</v>
      </c>
      <c r="H326" s="26">
        <f t="shared" si="7"/>
        <v>0</v>
      </c>
    </row>
    <row r="327" spans="1:8" x14ac:dyDescent="0.3">
      <c r="A327" s="3">
        <v>323</v>
      </c>
      <c r="B327" s="4" t="s">
        <v>576</v>
      </c>
      <c r="C327" s="55">
        <v>504054441</v>
      </c>
      <c r="D327" s="4" t="s">
        <v>594</v>
      </c>
      <c r="E327" s="55" t="s">
        <v>9</v>
      </c>
      <c r="F327" s="47">
        <v>3370.25</v>
      </c>
      <c r="G327" s="4">
        <v>0</v>
      </c>
      <c r="H327" s="26">
        <f t="shared" si="7"/>
        <v>0</v>
      </c>
    </row>
    <row r="328" spans="1:8" x14ac:dyDescent="0.3">
      <c r="A328" s="3">
        <v>324</v>
      </c>
      <c r="B328" s="4" t="s">
        <v>576</v>
      </c>
      <c r="C328" s="55">
        <v>504054541</v>
      </c>
      <c r="D328" s="4" t="s">
        <v>595</v>
      </c>
      <c r="E328" s="55" t="s">
        <v>9</v>
      </c>
      <c r="F328" s="47">
        <v>4202.6000000000004</v>
      </c>
      <c r="G328" s="4">
        <v>0</v>
      </c>
      <c r="H328" s="26">
        <f t="shared" si="7"/>
        <v>0</v>
      </c>
    </row>
    <row r="329" spans="1:8" x14ac:dyDescent="0.3">
      <c r="A329" s="3">
        <v>325</v>
      </c>
      <c r="B329" s="4" t="s">
        <v>576</v>
      </c>
      <c r="C329" s="55">
        <v>504054641</v>
      </c>
      <c r="D329" s="4" t="s">
        <v>596</v>
      </c>
      <c r="E329" s="55" t="s">
        <v>9</v>
      </c>
      <c r="F329" s="47">
        <v>4307.6899999999996</v>
      </c>
      <c r="G329" s="4">
        <v>0</v>
      </c>
      <c r="H329" s="26">
        <f t="shared" si="7"/>
        <v>0</v>
      </c>
    </row>
    <row r="330" spans="1:8" x14ac:dyDescent="0.3">
      <c r="A330" s="3">
        <v>326</v>
      </c>
      <c r="B330" s="4" t="s">
        <v>576</v>
      </c>
      <c r="C330" s="55">
        <v>504054741</v>
      </c>
      <c r="D330" s="4" t="s">
        <v>597</v>
      </c>
      <c r="E330" s="55" t="s">
        <v>9</v>
      </c>
      <c r="F330" s="47">
        <v>4322.33</v>
      </c>
      <c r="G330" s="4">
        <v>0</v>
      </c>
      <c r="H330" s="26">
        <f t="shared" si="7"/>
        <v>0</v>
      </c>
    </row>
    <row r="331" spans="1:8" x14ac:dyDescent="0.3">
      <c r="A331" s="3">
        <v>327</v>
      </c>
      <c r="B331" s="4" t="s">
        <v>576</v>
      </c>
      <c r="C331" s="55">
        <v>504054841</v>
      </c>
      <c r="D331" s="4" t="s">
        <v>598</v>
      </c>
      <c r="E331" s="55" t="s">
        <v>9</v>
      </c>
      <c r="F331" s="47">
        <v>4500</v>
      </c>
      <c r="G331" s="4">
        <v>0</v>
      </c>
      <c r="H331" s="26">
        <f t="shared" si="7"/>
        <v>0</v>
      </c>
    </row>
    <row r="332" spans="1:8" x14ac:dyDescent="0.3">
      <c r="A332" s="3">
        <v>328</v>
      </c>
      <c r="B332" s="4" t="s">
        <v>576</v>
      </c>
      <c r="C332" s="55">
        <v>504055141</v>
      </c>
      <c r="D332" s="4" t="s">
        <v>599</v>
      </c>
      <c r="E332" s="55" t="s">
        <v>9</v>
      </c>
      <c r="F332" s="47">
        <v>4472.8</v>
      </c>
      <c r="G332" s="4">
        <v>0</v>
      </c>
      <c r="H332" s="26">
        <f t="shared" si="7"/>
        <v>0</v>
      </c>
    </row>
    <row r="333" spans="1:8" x14ac:dyDescent="0.3">
      <c r="A333" s="3">
        <v>329</v>
      </c>
      <c r="B333" s="4" t="s">
        <v>576</v>
      </c>
      <c r="C333" s="55">
        <v>504055241</v>
      </c>
      <c r="D333" s="4" t="s">
        <v>600</v>
      </c>
      <c r="E333" s="55" t="s">
        <v>9</v>
      </c>
      <c r="F333" s="47">
        <v>6709.2</v>
      </c>
      <c r="G333" s="4">
        <v>0</v>
      </c>
      <c r="H333" s="26">
        <f t="shared" si="7"/>
        <v>0</v>
      </c>
    </row>
    <row r="334" spans="1:8" x14ac:dyDescent="0.3">
      <c r="A334" s="3">
        <v>330</v>
      </c>
      <c r="B334" s="4" t="s">
        <v>576</v>
      </c>
      <c r="C334" s="55">
        <v>504055341</v>
      </c>
      <c r="D334" s="4" t="s">
        <v>601</v>
      </c>
      <c r="E334" s="55" t="s">
        <v>9</v>
      </c>
      <c r="F334" s="47">
        <v>7348.17</v>
      </c>
      <c r="G334" s="4">
        <v>0</v>
      </c>
      <c r="H334" s="26">
        <f t="shared" si="7"/>
        <v>0</v>
      </c>
    </row>
    <row r="335" spans="1:8" x14ac:dyDescent="0.3">
      <c r="A335" s="3">
        <v>331</v>
      </c>
      <c r="B335" s="4" t="s">
        <v>576</v>
      </c>
      <c r="C335" s="55">
        <v>201050111</v>
      </c>
      <c r="D335" s="4" t="s">
        <v>752</v>
      </c>
      <c r="E335" s="55" t="s">
        <v>7</v>
      </c>
      <c r="F335" s="47">
        <v>182529.23</v>
      </c>
      <c r="G335" s="4">
        <v>0</v>
      </c>
      <c r="H335" s="26">
        <f t="shared" si="7"/>
        <v>0</v>
      </c>
    </row>
    <row r="336" spans="1:8" x14ac:dyDescent="0.3">
      <c r="A336" s="3">
        <v>332</v>
      </c>
      <c r="B336" s="4" t="s">
        <v>576</v>
      </c>
      <c r="C336" s="55">
        <v>910010241</v>
      </c>
      <c r="D336" s="4" t="s">
        <v>750</v>
      </c>
      <c r="E336" s="55" t="s">
        <v>9</v>
      </c>
      <c r="F336" s="47">
        <v>160.18</v>
      </c>
      <c r="G336" s="4">
        <v>0</v>
      </c>
      <c r="H336" s="26">
        <f t="shared" si="7"/>
        <v>0</v>
      </c>
    </row>
    <row r="337" spans="1:8" x14ac:dyDescent="0.3">
      <c r="A337" s="3">
        <v>333</v>
      </c>
      <c r="B337" s="4" t="s">
        <v>576</v>
      </c>
      <c r="C337" s="55">
        <v>910012141</v>
      </c>
      <c r="D337" s="4" t="s">
        <v>751</v>
      </c>
      <c r="E337" s="55" t="s">
        <v>9</v>
      </c>
      <c r="F337" s="47">
        <v>160.18</v>
      </c>
      <c r="G337" s="4">
        <v>0</v>
      </c>
      <c r="H337" s="26">
        <f t="shared" si="7"/>
        <v>0</v>
      </c>
    </row>
    <row r="338" spans="1:8" x14ac:dyDescent="0.3">
      <c r="F338" s="2" t="s">
        <v>608</v>
      </c>
      <c r="H338" s="43">
        <f>SUBTOTAL(9,H3:H337)</f>
        <v>0</v>
      </c>
    </row>
    <row r="339" spans="1:8" x14ac:dyDescent="0.3">
      <c r="F339" s="2" t="s">
        <v>626</v>
      </c>
      <c r="H339" s="34">
        <f>H338*5%</f>
        <v>0</v>
      </c>
    </row>
    <row r="340" spans="1:8" x14ac:dyDescent="0.3">
      <c r="E340" s="2" t="s">
        <v>609</v>
      </c>
      <c r="F340" s="2" t="s">
        <v>606</v>
      </c>
      <c r="H340" s="34">
        <f>H338+H339</f>
        <v>0</v>
      </c>
    </row>
    <row r="341" spans="1:8" x14ac:dyDescent="0.3">
      <c r="E341" s="2" t="s">
        <v>610</v>
      </c>
      <c r="F341" s="2" t="s">
        <v>607</v>
      </c>
      <c r="H341" s="34">
        <f>'Total labour rate'!G373</f>
        <v>2377</v>
      </c>
    </row>
    <row r="342" spans="1:8" x14ac:dyDescent="0.3">
      <c r="E342" s="2" t="s">
        <v>611</v>
      </c>
      <c r="F342" s="2" t="s">
        <v>616</v>
      </c>
      <c r="H342" s="34">
        <f>H340+H341</f>
        <v>2377</v>
      </c>
    </row>
    <row r="343" spans="1:8" x14ac:dyDescent="0.3">
      <c r="E343" s="2" t="s">
        <v>612</v>
      </c>
      <c r="F343" s="2" t="s">
        <v>733</v>
      </c>
      <c r="H343" s="34">
        <f>H342*0.1</f>
        <v>237.70000000000002</v>
      </c>
    </row>
    <row r="344" spans="1:8" x14ac:dyDescent="0.3">
      <c r="E344" s="2" t="s">
        <v>613</v>
      </c>
      <c r="F344" s="2" t="s">
        <v>617</v>
      </c>
      <c r="H344" s="34">
        <f>H342+H343</f>
        <v>2614.6999999999998</v>
      </c>
    </row>
    <row r="345" spans="1:8" x14ac:dyDescent="0.3">
      <c r="E345" s="2" t="s">
        <v>614</v>
      </c>
      <c r="F345" s="2" t="s">
        <v>618</v>
      </c>
      <c r="H345" s="34">
        <f>H344*1%</f>
        <v>26.146999999999998</v>
      </c>
    </row>
    <row r="346" spans="1:8" x14ac:dyDescent="0.3">
      <c r="E346" s="2" t="s">
        <v>615</v>
      </c>
      <c r="F346" s="2" t="s">
        <v>619</v>
      </c>
      <c r="H346" s="34">
        <f>(H341+H343)*18%</f>
        <v>470.64599999999996</v>
      </c>
    </row>
    <row r="347" spans="1:8" x14ac:dyDescent="0.3">
      <c r="E347" s="2" t="s">
        <v>690</v>
      </c>
      <c r="F347" s="2" t="s">
        <v>620</v>
      </c>
      <c r="H347" s="34">
        <f>H344+H345+H346</f>
        <v>3111.4929999999995</v>
      </c>
    </row>
    <row r="348" spans="1:8" x14ac:dyDescent="0.3">
      <c r="H348" s="2"/>
    </row>
    <row r="349" spans="1:8" x14ac:dyDescent="0.3">
      <c r="H349" s="2"/>
    </row>
    <row r="350" spans="1:8" x14ac:dyDescent="0.3">
      <c r="D350" s="7" t="s">
        <v>742</v>
      </c>
      <c r="H350" s="2"/>
    </row>
    <row r="351" spans="1:8" x14ac:dyDescent="0.3">
      <c r="C351" s="62" t="s">
        <v>743</v>
      </c>
      <c r="D351" s="4"/>
      <c r="E351" s="62" t="s">
        <v>744</v>
      </c>
      <c r="F351" s="5"/>
      <c r="G351" s="4"/>
      <c r="H351" s="45">
        <v>0</v>
      </c>
    </row>
    <row r="352" spans="1:8" x14ac:dyDescent="0.3">
      <c r="C352" s="4" t="s">
        <v>743</v>
      </c>
      <c r="D352" s="4"/>
      <c r="E352" s="4" t="s">
        <v>7</v>
      </c>
      <c r="F352" s="5"/>
      <c r="G352" s="4"/>
      <c r="H352" s="45">
        <v>0</v>
      </c>
    </row>
    <row r="353" spans="3:8" x14ac:dyDescent="0.3">
      <c r="C353" s="4" t="s">
        <v>743</v>
      </c>
      <c r="D353" s="4"/>
      <c r="E353" s="4" t="s">
        <v>744</v>
      </c>
      <c r="F353" s="5"/>
      <c r="G353" s="4"/>
      <c r="H353" s="45">
        <v>0</v>
      </c>
    </row>
    <row r="354" spans="3:8" x14ac:dyDescent="0.3">
      <c r="G354" s="2" t="s">
        <v>745</v>
      </c>
      <c r="H354" s="34">
        <f>SUM(H351:H353)</f>
        <v>0</v>
      </c>
    </row>
    <row r="355" spans="3:8" x14ac:dyDescent="0.3">
      <c r="D355" s="63" t="s">
        <v>746</v>
      </c>
      <c r="E355" s="7"/>
      <c r="F355" s="7"/>
      <c r="G355" s="7" t="s">
        <v>747</v>
      </c>
      <c r="H355" s="46">
        <f>H354*20%</f>
        <v>0</v>
      </c>
    </row>
    <row r="356" spans="3:8" x14ac:dyDescent="0.3">
      <c r="D356" s="7"/>
      <c r="E356" s="7"/>
      <c r="F356" s="7" t="s">
        <v>748</v>
      </c>
      <c r="G356" s="7" t="s">
        <v>749</v>
      </c>
      <c r="H356" s="46">
        <f>H348-H355</f>
        <v>0</v>
      </c>
    </row>
    <row r="357" spans="3:8" x14ac:dyDescent="0.3">
      <c r="H357" s="2"/>
    </row>
    <row r="358" spans="3:8" x14ac:dyDescent="0.3">
      <c r="H358" s="2"/>
    </row>
  </sheetData>
  <autoFilter ref="A2:H347" xr:uid="{00000000-0009-0000-0000-000000000000}"/>
  <mergeCells count="1">
    <mergeCell ref="A1:H1"/>
  </mergeCells>
  <conditionalFormatting sqref="C1:C1048576">
    <cfRule type="duplicateValues" dxfId="0" priority="1"/>
  </conditionalFormatting>
  <pageMargins left="0.7" right="0.7" top="0.75" bottom="0.75" header="0.3" footer="0.3"/>
  <pageSetup paperSize="9" scale="9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BF373"/>
  <sheetViews>
    <sheetView workbookViewId="0">
      <pane xSplit="7" ySplit="2" topLeftCell="H3" activePane="bottomRight" state="frozen"/>
      <selection pane="topRight" activeCell="H1" sqref="H1"/>
      <selection pane="bottomLeft" activeCell="A3" sqref="A3"/>
      <selection pane="bottomRight" activeCell="C22" sqref="C22"/>
    </sheetView>
  </sheetViews>
  <sheetFormatPr defaultRowHeight="14.4" x14ac:dyDescent="0.3"/>
  <cols>
    <col min="1" max="1" width="9.33203125" style="8" customWidth="1"/>
    <col min="2" max="2" width="17.33203125" style="8" customWidth="1"/>
    <col min="3" max="3" width="67.109375" style="8" customWidth="1"/>
    <col min="4" max="4" width="7.33203125" style="8" customWidth="1"/>
    <col min="5" max="5" width="15.33203125" style="8" customWidth="1"/>
    <col min="6" max="6" width="10.5546875" customWidth="1"/>
    <col min="7" max="7" width="13.109375" style="17" customWidth="1"/>
  </cols>
  <sheetData>
    <row r="1" spans="1:7" ht="51" customHeight="1" x14ac:dyDescent="0.3">
      <c r="A1" s="65" t="s">
        <v>757</v>
      </c>
      <c r="B1" s="65"/>
      <c r="C1" s="65"/>
      <c r="D1" s="65"/>
      <c r="E1" s="65"/>
      <c r="F1" s="65"/>
      <c r="G1" s="65"/>
    </row>
    <row r="2" spans="1:7" s="13" customFormat="1" ht="25.5" customHeight="1" x14ac:dyDescent="0.4">
      <c r="A2" s="32" t="s">
        <v>125</v>
      </c>
      <c r="B2" s="12" t="s">
        <v>129</v>
      </c>
      <c r="C2" s="32" t="s">
        <v>126</v>
      </c>
      <c r="D2" s="32" t="s">
        <v>127</v>
      </c>
      <c r="E2" s="32" t="s">
        <v>128</v>
      </c>
      <c r="F2" s="32" t="s">
        <v>754</v>
      </c>
      <c r="G2" s="33" t="s">
        <v>188</v>
      </c>
    </row>
    <row r="3" spans="1:7" ht="15" customHeight="1" x14ac:dyDescent="0.3">
      <c r="A3" s="6">
        <v>1</v>
      </c>
      <c r="B3" s="1" t="s">
        <v>130</v>
      </c>
      <c r="C3" s="6" t="s">
        <v>12</v>
      </c>
      <c r="D3" s="1" t="s">
        <v>2</v>
      </c>
      <c r="E3" s="1">
        <v>2761</v>
      </c>
      <c r="F3" s="44">
        <v>0</v>
      </c>
      <c r="G3" s="16">
        <f t="shared" ref="G3:G72" si="0">E3*F3</f>
        <v>0</v>
      </c>
    </row>
    <row r="4" spans="1:7" ht="15" customHeight="1" x14ac:dyDescent="0.3">
      <c r="A4" s="6">
        <v>2</v>
      </c>
      <c r="B4" s="1" t="s">
        <v>130</v>
      </c>
      <c r="C4" s="6" t="s">
        <v>13</v>
      </c>
      <c r="D4" s="1" t="s">
        <v>2</v>
      </c>
      <c r="E4" s="1">
        <v>1714</v>
      </c>
      <c r="F4" s="1">
        <v>0</v>
      </c>
      <c r="G4" s="16">
        <f t="shared" si="0"/>
        <v>0</v>
      </c>
    </row>
    <row r="5" spans="1:7" ht="15" customHeight="1" x14ac:dyDescent="0.3">
      <c r="A5" s="6">
        <v>3</v>
      </c>
      <c r="B5" s="1" t="s">
        <v>130</v>
      </c>
      <c r="C5" s="6" t="s">
        <v>14</v>
      </c>
      <c r="D5" s="1" t="s">
        <v>9</v>
      </c>
      <c r="E5" s="1">
        <v>4351</v>
      </c>
      <c r="F5" s="1">
        <v>0</v>
      </c>
      <c r="G5" s="16">
        <f t="shared" si="0"/>
        <v>0</v>
      </c>
    </row>
    <row r="6" spans="1:7" ht="15" customHeight="1" x14ac:dyDescent="0.3">
      <c r="A6" s="6">
        <v>4</v>
      </c>
      <c r="B6" s="1" t="s">
        <v>130</v>
      </c>
      <c r="C6" s="6" t="s">
        <v>15</v>
      </c>
      <c r="D6" s="1" t="s">
        <v>9</v>
      </c>
      <c r="E6" s="1">
        <v>2281</v>
      </c>
      <c r="F6" s="1">
        <v>0</v>
      </c>
      <c r="G6" s="16">
        <f t="shared" si="0"/>
        <v>0</v>
      </c>
    </row>
    <row r="7" spans="1:7" ht="15" customHeight="1" x14ac:dyDescent="0.3">
      <c r="A7" s="6">
        <v>5</v>
      </c>
      <c r="B7" s="1" t="s">
        <v>130</v>
      </c>
      <c r="C7" s="6" t="s">
        <v>16</v>
      </c>
      <c r="D7" s="1" t="s">
        <v>9</v>
      </c>
      <c r="E7" s="1">
        <v>1501</v>
      </c>
      <c r="F7" s="1">
        <v>0</v>
      </c>
      <c r="G7" s="16">
        <f t="shared" si="0"/>
        <v>0</v>
      </c>
    </row>
    <row r="8" spans="1:7" ht="15" customHeight="1" x14ac:dyDescent="0.3">
      <c r="A8" s="6">
        <v>6</v>
      </c>
      <c r="B8" s="1" t="s">
        <v>130</v>
      </c>
      <c r="C8" s="6" t="s">
        <v>689</v>
      </c>
      <c r="D8" s="1" t="s">
        <v>9</v>
      </c>
      <c r="E8" s="1">
        <v>2575.9</v>
      </c>
      <c r="F8" s="1">
        <v>0</v>
      </c>
      <c r="G8" s="16">
        <f t="shared" si="0"/>
        <v>0</v>
      </c>
    </row>
    <row r="9" spans="1:7" ht="15" customHeight="1" x14ac:dyDescent="0.3">
      <c r="A9" s="6">
        <v>7</v>
      </c>
      <c r="B9" s="1" t="s">
        <v>130</v>
      </c>
      <c r="C9" s="6" t="s">
        <v>17</v>
      </c>
      <c r="D9" s="1" t="s">
        <v>9</v>
      </c>
      <c r="E9" s="1">
        <v>4657</v>
      </c>
      <c r="F9" s="1">
        <v>0</v>
      </c>
      <c r="G9" s="16">
        <f t="shared" si="0"/>
        <v>0</v>
      </c>
    </row>
    <row r="10" spans="1:7" ht="15" customHeight="1" x14ac:dyDescent="0.3">
      <c r="A10" s="6">
        <v>8</v>
      </c>
      <c r="B10" s="1" t="s">
        <v>130</v>
      </c>
      <c r="C10" s="6" t="s">
        <v>18</v>
      </c>
      <c r="D10" s="1" t="s">
        <v>9</v>
      </c>
      <c r="E10" s="1">
        <v>2620</v>
      </c>
      <c r="F10" s="1">
        <v>0</v>
      </c>
      <c r="G10" s="16">
        <f t="shared" si="0"/>
        <v>0</v>
      </c>
    </row>
    <row r="11" spans="1:7" ht="15" customHeight="1" x14ac:dyDescent="0.3">
      <c r="A11" s="6">
        <v>9</v>
      </c>
      <c r="B11" s="1" t="s">
        <v>130</v>
      </c>
      <c r="C11" s="6" t="s">
        <v>19</v>
      </c>
      <c r="D11" s="1" t="s">
        <v>9</v>
      </c>
      <c r="E11" s="1">
        <v>1766</v>
      </c>
      <c r="F11" s="1">
        <v>0</v>
      </c>
      <c r="G11" s="16">
        <f t="shared" si="0"/>
        <v>0</v>
      </c>
    </row>
    <row r="12" spans="1:7" ht="15" customHeight="1" x14ac:dyDescent="0.3">
      <c r="A12" s="6">
        <v>10</v>
      </c>
      <c r="B12" s="1" t="s">
        <v>130</v>
      </c>
      <c r="C12" s="6" t="s">
        <v>20</v>
      </c>
      <c r="D12" s="1" t="s">
        <v>9</v>
      </c>
      <c r="E12" s="1">
        <v>13969</v>
      </c>
      <c r="F12" s="1">
        <v>0</v>
      </c>
      <c r="G12" s="16">
        <f t="shared" si="0"/>
        <v>0</v>
      </c>
    </row>
    <row r="13" spans="1:7" ht="15" customHeight="1" x14ac:dyDescent="0.3">
      <c r="A13" s="6">
        <v>11</v>
      </c>
      <c r="B13" s="1" t="s">
        <v>130</v>
      </c>
      <c r="C13" s="6" t="s">
        <v>21</v>
      </c>
      <c r="D13" s="1" t="s">
        <v>9</v>
      </c>
      <c r="E13" s="1">
        <v>9438</v>
      </c>
      <c r="F13" s="1">
        <v>0</v>
      </c>
      <c r="G13" s="16">
        <f t="shared" si="0"/>
        <v>0</v>
      </c>
    </row>
    <row r="14" spans="1:7" ht="15" customHeight="1" x14ac:dyDescent="0.3">
      <c r="A14" s="6">
        <v>12</v>
      </c>
      <c r="B14" s="1" t="s">
        <v>130</v>
      </c>
      <c r="C14" s="6" t="s">
        <v>22</v>
      </c>
      <c r="D14" s="1" t="s">
        <v>9</v>
      </c>
      <c r="E14" s="1">
        <v>6170</v>
      </c>
      <c r="F14" s="1">
        <v>0</v>
      </c>
      <c r="G14" s="16">
        <f t="shared" si="0"/>
        <v>0</v>
      </c>
    </row>
    <row r="15" spans="1:7" ht="15" customHeight="1" x14ac:dyDescent="0.3">
      <c r="A15" s="6">
        <v>13</v>
      </c>
      <c r="B15" s="1" t="s">
        <v>130</v>
      </c>
      <c r="C15" s="6" t="s">
        <v>23</v>
      </c>
      <c r="D15" s="1" t="s">
        <v>9</v>
      </c>
      <c r="E15" s="1">
        <v>23364</v>
      </c>
      <c r="F15" s="1">
        <v>0</v>
      </c>
      <c r="G15" s="16">
        <f t="shared" si="0"/>
        <v>0</v>
      </c>
    </row>
    <row r="16" spans="1:7" ht="15" customHeight="1" x14ac:dyDescent="0.3">
      <c r="A16" s="6">
        <v>14</v>
      </c>
      <c r="B16" s="1" t="s">
        <v>130</v>
      </c>
      <c r="C16" s="6" t="s">
        <v>24</v>
      </c>
      <c r="D16" s="1" t="s">
        <v>9</v>
      </c>
      <c r="E16" s="1">
        <v>16274</v>
      </c>
      <c r="F16" s="1">
        <v>0</v>
      </c>
      <c r="G16" s="16">
        <f t="shared" si="0"/>
        <v>0</v>
      </c>
    </row>
    <row r="17" spans="1:7" ht="15" customHeight="1" x14ac:dyDescent="0.3">
      <c r="A17" s="6">
        <v>15</v>
      </c>
      <c r="B17" s="1" t="s">
        <v>130</v>
      </c>
      <c r="C17" s="6" t="s">
        <v>25</v>
      </c>
      <c r="D17" s="1" t="s">
        <v>9</v>
      </c>
      <c r="E17" s="1">
        <v>12044</v>
      </c>
      <c r="F17" s="1">
        <v>0</v>
      </c>
      <c r="G17" s="16">
        <f t="shared" si="0"/>
        <v>0</v>
      </c>
    </row>
    <row r="18" spans="1:7" ht="20.25" customHeight="1" x14ac:dyDescent="0.3">
      <c r="A18" s="6">
        <v>16</v>
      </c>
      <c r="B18" s="1" t="s">
        <v>130</v>
      </c>
      <c r="C18" s="35" t="s">
        <v>26</v>
      </c>
      <c r="D18" s="36" t="s">
        <v>9</v>
      </c>
      <c r="E18" s="36">
        <v>35717</v>
      </c>
      <c r="F18" s="1">
        <v>0</v>
      </c>
      <c r="G18" s="37">
        <f t="shared" si="0"/>
        <v>0</v>
      </c>
    </row>
    <row r="19" spans="1:7" ht="15" customHeight="1" x14ac:dyDescent="0.3">
      <c r="A19" s="6">
        <v>17</v>
      </c>
      <c r="B19" s="1" t="s">
        <v>130</v>
      </c>
      <c r="C19" s="6" t="s">
        <v>27</v>
      </c>
      <c r="D19" s="1" t="s">
        <v>9</v>
      </c>
      <c r="E19" s="1">
        <v>27829.68</v>
      </c>
      <c r="F19" s="1">
        <v>0</v>
      </c>
      <c r="G19" s="16">
        <f t="shared" si="0"/>
        <v>0</v>
      </c>
    </row>
    <row r="20" spans="1:7" ht="15" customHeight="1" x14ac:dyDescent="0.3">
      <c r="A20" s="6">
        <v>18</v>
      </c>
      <c r="B20" s="1" t="s">
        <v>130</v>
      </c>
      <c r="C20" s="6" t="s">
        <v>28</v>
      </c>
      <c r="D20" s="1" t="s">
        <v>9</v>
      </c>
      <c r="E20" s="1">
        <v>15312</v>
      </c>
      <c r="F20" s="1">
        <v>0</v>
      </c>
      <c r="G20" s="16">
        <f t="shared" si="0"/>
        <v>0</v>
      </c>
    </row>
    <row r="21" spans="1:7" ht="15" customHeight="1" x14ac:dyDescent="0.3">
      <c r="A21" s="6">
        <v>19</v>
      </c>
      <c r="B21" s="1" t="s">
        <v>130</v>
      </c>
      <c r="C21" s="6" t="s">
        <v>162</v>
      </c>
      <c r="D21" s="1" t="s">
        <v>9</v>
      </c>
      <c r="E21" s="1">
        <v>1862.95</v>
      </c>
      <c r="F21" s="1">
        <v>0</v>
      </c>
      <c r="G21" s="16">
        <f t="shared" si="0"/>
        <v>0</v>
      </c>
    </row>
    <row r="22" spans="1:7" ht="15" customHeight="1" x14ac:dyDescent="0.3">
      <c r="A22" s="6">
        <v>20</v>
      </c>
      <c r="B22" s="1" t="s">
        <v>130</v>
      </c>
      <c r="C22" s="6" t="s">
        <v>672</v>
      </c>
      <c r="D22" s="1" t="s">
        <v>9</v>
      </c>
      <c r="E22" s="1">
        <v>1706.38</v>
      </c>
      <c r="F22" s="1">
        <v>0</v>
      </c>
      <c r="G22" s="16">
        <f t="shared" si="0"/>
        <v>0</v>
      </c>
    </row>
    <row r="23" spans="1:7" ht="15" customHeight="1" x14ac:dyDescent="0.3">
      <c r="A23" s="6">
        <v>21</v>
      </c>
      <c r="B23" s="1" t="s">
        <v>130</v>
      </c>
      <c r="C23" s="6" t="s">
        <v>29</v>
      </c>
      <c r="D23" s="1" t="s">
        <v>9</v>
      </c>
      <c r="E23" s="1">
        <v>16112</v>
      </c>
      <c r="F23" s="1">
        <v>0</v>
      </c>
      <c r="G23" s="16">
        <f t="shared" si="0"/>
        <v>0</v>
      </c>
    </row>
    <row r="24" spans="1:7" ht="15" customHeight="1" x14ac:dyDescent="0.3">
      <c r="A24" s="6">
        <v>22</v>
      </c>
      <c r="B24" s="1" t="s">
        <v>130</v>
      </c>
      <c r="C24" s="6" t="s">
        <v>30</v>
      </c>
      <c r="D24" s="1" t="s">
        <v>9</v>
      </c>
      <c r="E24" s="1">
        <v>13169</v>
      </c>
      <c r="F24" s="1">
        <v>0</v>
      </c>
      <c r="G24" s="16">
        <f t="shared" si="0"/>
        <v>0</v>
      </c>
    </row>
    <row r="25" spans="1:7" ht="15" customHeight="1" x14ac:dyDescent="0.3">
      <c r="A25" s="6">
        <v>23</v>
      </c>
      <c r="B25" s="1" t="s">
        <v>130</v>
      </c>
      <c r="C25" s="6" t="s">
        <v>31</v>
      </c>
      <c r="D25" s="1" t="s">
        <v>9</v>
      </c>
      <c r="E25" s="1">
        <v>10735</v>
      </c>
      <c r="F25" s="1">
        <v>0</v>
      </c>
      <c r="G25" s="16">
        <f t="shared" si="0"/>
        <v>0</v>
      </c>
    </row>
    <row r="26" spans="1:7" ht="15" customHeight="1" x14ac:dyDescent="0.3">
      <c r="A26" s="6">
        <v>24</v>
      </c>
      <c r="B26" s="1" t="s">
        <v>130</v>
      </c>
      <c r="C26" s="6" t="s">
        <v>32</v>
      </c>
      <c r="D26" s="1" t="s">
        <v>9</v>
      </c>
      <c r="E26" s="1">
        <v>19872</v>
      </c>
      <c r="F26" s="1">
        <v>0</v>
      </c>
      <c r="G26" s="16">
        <f t="shared" si="0"/>
        <v>0</v>
      </c>
    </row>
    <row r="27" spans="1:7" ht="15" customHeight="1" x14ac:dyDescent="0.3">
      <c r="A27" s="6">
        <v>25</v>
      </c>
      <c r="B27" s="1" t="s">
        <v>130</v>
      </c>
      <c r="C27" s="6" t="s">
        <v>163</v>
      </c>
      <c r="D27" s="1" t="s">
        <v>2</v>
      </c>
      <c r="E27" s="1">
        <v>19208</v>
      </c>
      <c r="F27" s="1">
        <v>0</v>
      </c>
      <c r="G27" s="16">
        <f t="shared" si="0"/>
        <v>0</v>
      </c>
    </row>
    <row r="28" spans="1:7" ht="15" customHeight="1" x14ac:dyDescent="0.3">
      <c r="A28" s="6">
        <v>26</v>
      </c>
      <c r="B28" s="1" t="s">
        <v>130</v>
      </c>
      <c r="C28" s="6" t="s">
        <v>164</v>
      </c>
      <c r="D28" s="1" t="s">
        <v>2</v>
      </c>
      <c r="E28" s="1">
        <v>14154</v>
      </c>
      <c r="F28" s="1">
        <v>0</v>
      </c>
      <c r="G28" s="16">
        <f t="shared" si="0"/>
        <v>0</v>
      </c>
    </row>
    <row r="29" spans="1:7" ht="15" customHeight="1" x14ac:dyDescent="0.3">
      <c r="A29" s="6">
        <v>27</v>
      </c>
      <c r="B29" s="1" t="s">
        <v>130</v>
      </c>
      <c r="C29" s="6" t="s">
        <v>165</v>
      </c>
      <c r="D29" s="1" t="s">
        <v>2</v>
      </c>
      <c r="E29" s="1">
        <v>9246</v>
      </c>
      <c r="F29" s="1">
        <v>0</v>
      </c>
      <c r="G29" s="16">
        <f t="shared" si="0"/>
        <v>0</v>
      </c>
    </row>
    <row r="30" spans="1:7" ht="15" customHeight="1" x14ac:dyDescent="0.3">
      <c r="A30" s="6">
        <v>28</v>
      </c>
      <c r="B30" s="1" t="s">
        <v>130</v>
      </c>
      <c r="C30" s="6" t="s">
        <v>33</v>
      </c>
      <c r="D30" s="1" t="s">
        <v>2</v>
      </c>
      <c r="E30" s="1">
        <v>16544</v>
      </c>
      <c r="F30" s="1">
        <v>0</v>
      </c>
      <c r="G30" s="16">
        <f t="shared" si="0"/>
        <v>0</v>
      </c>
    </row>
    <row r="31" spans="1:7" ht="15" customHeight="1" x14ac:dyDescent="0.3">
      <c r="A31" s="6">
        <v>29</v>
      </c>
      <c r="B31" s="1" t="s">
        <v>130</v>
      </c>
      <c r="C31" s="6" t="s">
        <v>166</v>
      </c>
      <c r="D31" s="1" t="s">
        <v>2</v>
      </c>
      <c r="E31" s="1">
        <v>1233</v>
      </c>
      <c r="F31" s="1">
        <v>0</v>
      </c>
      <c r="G31" s="16">
        <f t="shared" si="0"/>
        <v>0</v>
      </c>
    </row>
    <row r="32" spans="1:7" ht="15" customHeight="1" x14ac:dyDescent="0.3">
      <c r="A32" s="6">
        <v>30</v>
      </c>
      <c r="B32" s="1" t="s">
        <v>130</v>
      </c>
      <c r="C32" s="6" t="s">
        <v>167</v>
      </c>
      <c r="D32" s="1" t="s">
        <v>2</v>
      </c>
      <c r="E32" s="1">
        <v>8169</v>
      </c>
      <c r="F32" s="1">
        <v>0</v>
      </c>
      <c r="G32" s="16">
        <f t="shared" si="0"/>
        <v>0</v>
      </c>
    </row>
    <row r="33" spans="1:7" ht="15" customHeight="1" x14ac:dyDescent="0.3">
      <c r="A33" s="6">
        <v>31</v>
      </c>
      <c r="B33" s="1" t="s">
        <v>130</v>
      </c>
      <c r="C33" s="6" t="s">
        <v>37</v>
      </c>
      <c r="D33" s="1" t="s">
        <v>2</v>
      </c>
      <c r="E33" s="1">
        <v>9715</v>
      </c>
      <c r="F33" s="1">
        <v>0</v>
      </c>
      <c r="G33" s="16">
        <f t="shared" si="0"/>
        <v>0</v>
      </c>
    </row>
    <row r="34" spans="1:7" ht="15" customHeight="1" x14ac:dyDescent="0.3">
      <c r="A34" s="6">
        <v>32</v>
      </c>
      <c r="B34" s="1" t="s">
        <v>130</v>
      </c>
      <c r="C34" s="6" t="s">
        <v>34</v>
      </c>
      <c r="D34" s="1" t="s">
        <v>2</v>
      </c>
      <c r="E34" s="1">
        <v>8289</v>
      </c>
      <c r="F34" s="1">
        <v>0</v>
      </c>
      <c r="G34" s="16">
        <f t="shared" si="0"/>
        <v>0</v>
      </c>
    </row>
    <row r="35" spans="1:7" ht="15" customHeight="1" x14ac:dyDescent="0.3">
      <c r="A35" s="6">
        <v>33</v>
      </c>
      <c r="B35" s="1" t="s">
        <v>130</v>
      </c>
      <c r="C35" s="6" t="s">
        <v>35</v>
      </c>
      <c r="D35" s="1" t="s">
        <v>2</v>
      </c>
      <c r="E35" s="1">
        <v>6184</v>
      </c>
      <c r="F35" s="1">
        <v>0</v>
      </c>
      <c r="G35" s="16">
        <f t="shared" si="0"/>
        <v>0</v>
      </c>
    </row>
    <row r="36" spans="1:7" ht="15" customHeight="1" x14ac:dyDescent="0.3">
      <c r="A36" s="6">
        <v>34</v>
      </c>
      <c r="B36" s="1" t="s">
        <v>130</v>
      </c>
      <c r="C36" s="6" t="s">
        <v>36</v>
      </c>
      <c r="D36" s="1" t="s">
        <v>2</v>
      </c>
      <c r="E36" s="1">
        <v>2978</v>
      </c>
      <c r="F36" s="1">
        <v>0</v>
      </c>
      <c r="G36" s="16">
        <f t="shared" si="0"/>
        <v>0</v>
      </c>
    </row>
    <row r="37" spans="1:7" ht="15" customHeight="1" x14ac:dyDescent="0.3">
      <c r="A37" s="6">
        <v>35</v>
      </c>
      <c r="B37" s="1" t="s">
        <v>130</v>
      </c>
      <c r="C37" s="6" t="s">
        <v>38</v>
      </c>
      <c r="D37" s="1" t="s">
        <v>2</v>
      </c>
      <c r="E37" s="1">
        <v>8821</v>
      </c>
      <c r="F37" s="1">
        <v>0</v>
      </c>
      <c r="G37" s="16">
        <f t="shared" si="0"/>
        <v>0</v>
      </c>
    </row>
    <row r="38" spans="1:7" ht="15" customHeight="1" x14ac:dyDescent="0.3">
      <c r="A38" s="6">
        <v>36</v>
      </c>
      <c r="B38" s="1" t="s">
        <v>130</v>
      </c>
      <c r="C38" s="6" t="s">
        <v>39</v>
      </c>
      <c r="D38" s="1" t="s">
        <v>2</v>
      </c>
      <c r="E38" s="1">
        <v>7899</v>
      </c>
      <c r="F38" s="1">
        <v>0</v>
      </c>
      <c r="G38" s="16">
        <f t="shared" si="0"/>
        <v>0</v>
      </c>
    </row>
    <row r="39" spans="1:7" ht="15" customHeight="1" x14ac:dyDescent="0.3">
      <c r="A39" s="6">
        <v>37</v>
      </c>
      <c r="B39" s="1" t="s">
        <v>130</v>
      </c>
      <c r="C39" s="6" t="s">
        <v>40</v>
      </c>
      <c r="D39" s="1" t="s">
        <v>2</v>
      </c>
      <c r="E39" s="1">
        <v>5322</v>
      </c>
      <c r="F39" s="1">
        <v>0</v>
      </c>
      <c r="G39" s="16">
        <f t="shared" si="0"/>
        <v>0</v>
      </c>
    </row>
    <row r="40" spans="1:7" ht="15" customHeight="1" x14ac:dyDescent="0.3">
      <c r="A40" s="6">
        <v>38</v>
      </c>
      <c r="B40" s="1" t="s">
        <v>130</v>
      </c>
      <c r="C40" s="6" t="s">
        <v>41</v>
      </c>
      <c r="D40" s="1" t="s">
        <v>2</v>
      </c>
      <c r="E40" s="1">
        <v>2845</v>
      </c>
      <c r="F40" s="1">
        <v>0</v>
      </c>
      <c r="G40" s="16">
        <f t="shared" si="0"/>
        <v>0</v>
      </c>
    </row>
    <row r="41" spans="1:7" ht="15" customHeight="1" x14ac:dyDescent="0.3">
      <c r="A41" s="6">
        <v>39</v>
      </c>
      <c r="B41" s="1" t="s">
        <v>130</v>
      </c>
      <c r="C41" s="6" t="s">
        <v>168</v>
      </c>
      <c r="D41" s="1" t="s">
        <v>2</v>
      </c>
      <c r="E41" s="1">
        <v>8432</v>
      </c>
      <c r="F41" s="1">
        <v>0</v>
      </c>
      <c r="G41" s="16">
        <f t="shared" si="0"/>
        <v>0</v>
      </c>
    </row>
    <row r="42" spans="1:7" ht="15" customHeight="1" x14ac:dyDescent="0.3">
      <c r="A42" s="6">
        <v>40</v>
      </c>
      <c r="B42" s="1" t="s">
        <v>130</v>
      </c>
      <c r="C42" s="6" t="s">
        <v>169</v>
      </c>
      <c r="D42" s="1" t="s">
        <v>2</v>
      </c>
      <c r="E42" s="1">
        <v>7043</v>
      </c>
      <c r="F42" s="1">
        <v>0</v>
      </c>
      <c r="G42" s="16">
        <f t="shared" si="0"/>
        <v>0</v>
      </c>
    </row>
    <row r="43" spans="1:7" ht="15" customHeight="1" x14ac:dyDescent="0.3">
      <c r="A43" s="6">
        <v>41</v>
      </c>
      <c r="B43" s="1" t="s">
        <v>130</v>
      </c>
      <c r="C43" s="6" t="s">
        <v>170</v>
      </c>
      <c r="D43" s="1" t="s">
        <v>2</v>
      </c>
      <c r="E43" s="1">
        <v>4873</v>
      </c>
      <c r="F43" s="1">
        <v>0</v>
      </c>
      <c r="G43" s="16">
        <f t="shared" si="0"/>
        <v>0</v>
      </c>
    </row>
    <row r="44" spans="1:7" ht="15" customHeight="1" x14ac:dyDescent="0.3">
      <c r="A44" s="6">
        <v>42</v>
      </c>
      <c r="B44" s="1" t="s">
        <v>130</v>
      </c>
      <c r="C44" s="6" t="s">
        <v>171</v>
      </c>
      <c r="D44" s="1" t="s">
        <v>2</v>
      </c>
      <c r="E44" s="1">
        <v>2894</v>
      </c>
      <c r="F44" s="1">
        <v>0</v>
      </c>
      <c r="G44" s="16">
        <f t="shared" si="0"/>
        <v>0</v>
      </c>
    </row>
    <row r="45" spans="1:7" ht="15" customHeight="1" x14ac:dyDescent="0.3">
      <c r="A45" s="6">
        <v>43</v>
      </c>
      <c r="B45" s="1" t="s">
        <v>130</v>
      </c>
      <c r="C45" s="6" t="s">
        <v>172</v>
      </c>
      <c r="D45" s="1" t="s">
        <v>2</v>
      </c>
      <c r="E45" s="1">
        <v>7972</v>
      </c>
      <c r="F45" s="1">
        <v>0</v>
      </c>
      <c r="G45" s="16">
        <f t="shared" si="0"/>
        <v>0</v>
      </c>
    </row>
    <row r="46" spans="1:7" ht="15" customHeight="1" x14ac:dyDescent="0.3">
      <c r="A46" s="6">
        <v>44</v>
      </c>
      <c r="B46" s="1" t="s">
        <v>130</v>
      </c>
      <c r="C46" s="6" t="s">
        <v>173</v>
      </c>
      <c r="D46" s="1" t="s">
        <v>2</v>
      </c>
      <c r="E46" s="1">
        <v>6882</v>
      </c>
      <c r="F46" s="1">
        <v>0</v>
      </c>
      <c r="G46" s="16">
        <f t="shared" si="0"/>
        <v>0</v>
      </c>
    </row>
    <row r="47" spans="1:7" ht="15" customHeight="1" x14ac:dyDescent="0.3">
      <c r="A47" s="6">
        <v>45</v>
      </c>
      <c r="B47" s="1" t="s">
        <v>130</v>
      </c>
      <c r="C47" s="6" t="s">
        <v>174</v>
      </c>
      <c r="D47" s="1" t="s">
        <v>2</v>
      </c>
      <c r="E47" s="1">
        <v>4864</v>
      </c>
      <c r="F47" s="1">
        <v>0</v>
      </c>
      <c r="G47" s="16">
        <f t="shared" si="0"/>
        <v>0</v>
      </c>
    </row>
    <row r="48" spans="1:7" ht="15" customHeight="1" x14ac:dyDescent="0.3">
      <c r="A48" s="6">
        <v>46</v>
      </c>
      <c r="B48" s="1" t="s">
        <v>130</v>
      </c>
      <c r="C48" s="6" t="s">
        <v>175</v>
      </c>
      <c r="D48" s="1" t="s">
        <v>2</v>
      </c>
      <c r="E48" s="1">
        <v>2815</v>
      </c>
      <c r="F48" s="1">
        <v>0</v>
      </c>
      <c r="G48" s="16">
        <f t="shared" si="0"/>
        <v>0</v>
      </c>
    </row>
    <row r="49" spans="1:7" ht="15" customHeight="1" x14ac:dyDescent="0.3">
      <c r="A49" s="6">
        <v>47</v>
      </c>
      <c r="B49" s="1" t="s">
        <v>130</v>
      </c>
      <c r="C49" s="6" t="s">
        <v>176</v>
      </c>
      <c r="D49" s="1" t="s">
        <v>2</v>
      </c>
      <c r="E49" s="1">
        <v>7136</v>
      </c>
      <c r="F49" s="1">
        <v>0</v>
      </c>
      <c r="G49" s="16">
        <f t="shared" si="0"/>
        <v>0</v>
      </c>
    </row>
    <row r="50" spans="1:7" ht="15" customHeight="1" x14ac:dyDescent="0.3">
      <c r="A50" s="6">
        <v>48</v>
      </c>
      <c r="B50" s="1" t="s">
        <v>130</v>
      </c>
      <c r="C50" s="6" t="s">
        <v>177</v>
      </c>
      <c r="D50" s="1" t="s">
        <v>2</v>
      </c>
      <c r="E50" s="1">
        <v>6301</v>
      </c>
      <c r="F50" s="1">
        <v>0</v>
      </c>
      <c r="G50" s="16">
        <f t="shared" si="0"/>
        <v>0</v>
      </c>
    </row>
    <row r="51" spans="1:7" ht="15" customHeight="1" x14ac:dyDescent="0.3">
      <c r="A51" s="6">
        <v>49</v>
      </c>
      <c r="B51" s="1" t="s">
        <v>130</v>
      </c>
      <c r="C51" s="6" t="s">
        <v>178</v>
      </c>
      <c r="D51" s="1" t="s">
        <v>2</v>
      </c>
      <c r="E51" s="1">
        <v>4412</v>
      </c>
      <c r="F51" s="1">
        <v>0</v>
      </c>
      <c r="G51" s="16">
        <f t="shared" si="0"/>
        <v>0</v>
      </c>
    </row>
    <row r="52" spans="1:7" ht="15" customHeight="1" x14ac:dyDescent="0.3">
      <c r="A52" s="6">
        <v>50</v>
      </c>
      <c r="B52" s="1" t="s">
        <v>130</v>
      </c>
      <c r="C52" s="6" t="s">
        <v>179</v>
      </c>
      <c r="D52" s="1" t="s">
        <v>2</v>
      </c>
      <c r="E52" s="1">
        <v>2435</v>
      </c>
      <c r="F52" s="1">
        <v>0</v>
      </c>
      <c r="G52" s="16">
        <f t="shared" si="0"/>
        <v>0</v>
      </c>
    </row>
    <row r="53" spans="1:7" ht="15" customHeight="1" x14ac:dyDescent="0.3">
      <c r="A53" s="6">
        <v>51</v>
      </c>
      <c r="B53" s="1" t="s">
        <v>130</v>
      </c>
      <c r="C53" s="6" t="s">
        <v>70</v>
      </c>
      <c r="D53" s="1" t="s">
        <v>2</v>
      </c>
      <c r="E53" s="1">
        <v>1592</v>
      </c>
      <c r="F53" s="1">
        <v>0</v>
      </c>
      <c r="G53" s="16">
        <f t="shared" si="0"/>
        <v>0</v>
      </c>
    </row>
    <row r="54" spans="1:7" ht="15" customHeight="1" x14ac:dyDescent="0.3">
      <c r="A54" s="6">
        <v>52</v>
      </c>
      <c r="B54" s="1" t="s">
        <v>130</v>
      </c>
      <c r="C54" s="6" t="s">
        <v>43</v>
      </c>
      <c r="D54" s="1" t="s">
        <v>9</v>
      </c>
      <c r="E54" s="1">
        <v>1885</v>
      </c>
      <c r="F54" s="1">
        <v>0</v>
      </c>
      <c r="G54" s="16">
        <f t="shared" si="0"/>
        <v>0</v>
      </c>
    </row>
    <row r="55" spans="1:7" ht="15" customHeight="1" x14ac:dyDescent="0.3">
      <c r="A55" s="6">
        <v>53</v>
      </c>
      <c r="B55" s="1" t="s">
        <v>130</v>
      </c>
      <c r="C55" s="6" t="s">
        <v>5</v>
      </c>
      <c r="D55" s="1" t="s">
        <v>9</v>
      </c>
      <c r="E55" s="1">
        <v>1925</v>
      </c>
      <c r="F55" s="1">
        <v>0</v>
      </c>
      <c r="G55" s="16">
        <f t="shared" si="0"/>
        <v>0</v>
      </c>
    </row>
    <row r="56" spans="1:7" ht="15" customHeight="1" x14ac:dyDescent="0.3">
      <c r="A56" s="6">
        <v>54</v>
      </c>
      <c r="B56" s="1" t="s">
        <v>130</v>
      </c>
      <c r="C56" s="6" t="s">
        <v>4</v>
      </c>
      <c r="D56" s="1" t="s">
        <v>9</v>
      </c>
      <c r="E56" s="1">
        <v>2711</v>
      </c>
      <c r="F56" s="1">
        <v>0</v>
      </c>
      <c r="G56" s="16">
        <f t="shared" si="0"/>
        <v>0</v>
      </c>
    </row>
    <row r="57" spans="1:7" ht="15" customHeight="1" x14ac:dyDescent="0.3">
      <c r="A57" s="6">
        <v>55</v>
      </c>
      <c r="B57" s="1" t="s">
        <v>130</v>
      </c>
      <c r="C57" s="6" t="s">
        <v>3</v>
      </c>
      <c r="D57" s="1" t="s">
        <v>9</v>
      </c>
      <c r="E57" s="1">
        <v>3214</v>
      </c>
      <c r="F57" s="1">
        <v>0</v>
      </c>
      <c r="G57" s="16">
        <f t="shared" si="0"/>
        <v>0</v>
      </c>
    </row>
    <row r="58" spans="1:7" ht="15" customHeight="1" x14ac:dyDescent="0.3">
      <c r="A58" s="6">
        <v>56</v>
      </c>
      <c r="B58" s="1" t="s">
        <v>130</v>
      </c>
      <c r="C58" s="6" t="s">
        <v>755</v>
      </c>
      <c r="D58" s="1" t="s">
        <v>9</v>
      </c>
      <c r="E58" s="1">
        <v>3406</v>
      </c>
      <c r="F58" s="1">
        <v>0</v>
      </c>
      <c r="G58" s="16">
        <f t="shared" si="0"/>
        <v>0</v>
      </c>
    </row>
    <row r="59" spans="1:7" ht="15" customHeight="1" x14ac:dyDescent="0.3">
      <c r="A59" s="6">
        <v>57</v>
      </c>
      <c r="B59" s="1" t="s">
        <v>130</v>
      </c>
      <c r="C59" s="6" t="s">
        <v>42</v>
      </c>
      <c r="D59" s="1" t="s">
        <v>9</v>
      </c>
      <c r="E59" s="1">
        <v>7248</v>
      </c>
      <c r="F59" s="1">
        <v>0</v>
      </c>
      <c r="G59" s="16">
        <f t="shared" si="0"/>
        <v>0</v>
      </c>
    </row>
    <row r="60" spans="1:7" ht="15" customHeight="1" x14ac:dyDescent="0.3">
      <c r="A60" s="6">
        <v>58</v>
      </c>
      <c r="B60" s="1" t="s">
        <v>130</v>
      </c>
      <c r="C60" s="6" t="s">
        <v>44</v>
      </c>
      <c r="D60" s="1" t="s">
        <v>9</v>
      </c>
      <c r="E60" s="1">
        <v>237</v>
      </c>
      <c r="F60" s="1">
        <v>0</v>
      </c>
      <c r="G60" s="16">
        <f t="shared" si="0"/>
        <v>0</v>
      </c>
    </row>
    <row r="61" spans="1:7" ht="15" customHeight="1" x14ac:dyDescent="0.3">
      <c r="A61" s="6">
        <v>59</v>
      </c>
      <c r="B61" s="1" t="s">
        <v>130</v>
      </c>
      <c r="C61" s="6" t="s">
        <v>45</v>
      </c>
      <c r="D61" s="1" t="s">
        <v>9</v>
      </c>
      <c r="E61" s="1">
        <v>369</v>
      </c>
      <c r="F61" s="1">
        <v>0</v>
      </c>
      <c r="G61" s="16">
        <f t="shared" si="0"/>
        <v>0</v>
      </c>
    </row>
    <row r="62" spans="1:7" ht="15" customHeight="1" x14ac:dyDescent="0.3">
      <c r="A62" s="6">
        <v>60</v>
      </c>
      <c r="B62" s="1" t="s">
        <v>130</v>
      </c>
      <c r="C62" s="6" t="s">
        <v>46</v>
      </c>
      <c r="D62" s="1" t="s">
        <v>9</v>
      </c>
      <c r="E62" s="1">
        <v>256</v>
      </c>
      <c r="F62" s="1">
        <v>0</v>
      </c>
      <c r="G62" s="16">
        <f t="shared" si="0"/>
        <v>0</v>
      </c>
    </row>
    <row r="63" spans="1:7" ht="15" customHeight="1" x14ac:dyDescent="0.3">
      <c r="A63" s="6">
        <v>61</v>
      </c>
      <c r="B63" s="1" t="s">
        <v>130</v>
      </c>
      <c r="C63" s="6" t="s">
        <v>673</v>
      </c>
      <c r="D63" s="1" t="s">
        <v>9</v>
      </c>
      <c r="E63" s="1">
        <v>357</v>
      </c>
      <c r="F63" s="1">
        <v>0</v>
      </c>
      <c r="G63" s="16">
        <f t="shared" si="0"/>
        <v>0</v>
      </c>
    </row>
    <row r="64" spans="1:7" ht="15" customHeight="1" x14ac:dyDescent="0.3">
      <c r="A64" s="6">
        <v>62</v>
      </c>
      <c r="B64" s="1" t="s">
        <v>130</v>
      </c>
      <c r="C64" s="6" t="s">
        <v>47</v>
      </c>
      <c r="D64" s="1" t="s">
        <v>9</v>
      </c>
      <c r="E64" s="1">
        <v>312</v>
      </c>
      <c r="F64" s="1">
        <v>0</v>
      </c>
      <c r="G64" s="16">
        <f t="shared" si="0"/>
        <v>0</v>
      </c>
    </row>
    <row r="65" spans="1:7" ht="15" customHeight="1" x14ac:dyDescent="0.3">
      <c r="A65" s="6">
        <v>63</v>
      </c>
      <c r="B65" s="1" t="s">
        <v>130</v>
      </c>
      <c r="C65" s="6" t="s">
        <v>674</v>
      </c>
      <c r="D65" s="1" t="s">
        <v>9</v>
      </c>
      <c r="E65" s="1">
        <v>469</v>
      </c>
      <c r="F65" s="1">
        <v>0</v>
      </c>
      <c r="G65" s="16">
        <f t="shared" si="0"/>
        <v>0</v>
      </c>
    </row>
    <row r="66" spans="1:7" ht="15" customHeight="1" x14ac:dyDescent="0.3">
      <c r="A66" s="6">
        <v>64</v>
      </c>
      <c r="B66" s="1" t="s">
        <v>130</v>
      </c>
      <c r="C66" s="6" t="s">
        <v>48</v>
      </c>
      <c r="D66" s="1" t="s">
        <v>9</v>
      </c>
      <c r="E66" s="1">
        <v>506</v>
      </c>
      <c r="F66" s="1">
        <v>0</v>
      </c>
      <c r="G66" s="16">
        <f t="shared" si="0"/>
        <v>0</v>
      </c>
    </row>
    <row r="67" spans="1:7" ht="15" customHeight="1" x14ac:dyDescent="0.3">
      <c r="A67" s="6">
        <v>65</v>
      </c>
      <c r="B67" s="1" t="s">
        <v>130</v>
      </c>
      <c r="C67" s="6" t="s">
        <v>679</v>
      </c>
      <c r="D67" s="1" t="s">
        <v>9</v>
      </c>
      <c r="E67" s="1">
        <v>746</v>
      </c>
      <c r="F67" s="1">
        <v>0</v>
      </c>
      <c r="G67" s="16">
        <f t="shared" si="0"/>
        <v>0</v>
      </c>
    </row>
    <row r="68" spans="1:7" ht="15" customHeight="1" x14ac:dyDescent="0.3">
      <c r="A68" s="6">
        <v>66</v>
      </c>
      <c r="B68" s="1" t="s">
        <v>130</v>
      </c>
      <c r="C68" s="6" t="s">
        <v>49</v>
      </c>
      <c r="D68" s="1" t="s">
        <v>9</v>
      </c>
      <c r="E68" s="1">
        <v>15</v>
      </c>
      <c r="F68" s="1">
        <v>0</v>
      </c>
      <c r="G68" s="16">
        <f t="shared" si="0"/>
        <v>0</v>
      </c>
    </row>
    <row r="69" spans="1:7" ht="15" customHeight="1" x14ac:dyDescent="0.3">
      <c r="A69" s="6">
        <v>67</v>
      </c>
      <c r="B69" s="1" t="s">
        <v>130</v>
      </c>
      <c r="C69" s="6" t="s">
        <v>50</v>
      </c>
      <c r="D69" s="1" t="s">
        <v>9</v>
      </c>
      <c r="E69" s="1">
        <v>63</v>
      </c>
      <c r="F69" s="1">
        <v>0</v>
      </c>
      <c r="G69" s="16">
        <f t="shared" si="0"/>
        <v>0</v>
      </c>
    </row>
    <row r="70" spans="1:7" ht="15.6" x14ac:dyDescent="0.3">
      <c r="A70" s="6">
        <v>68</v>
      </c>
      <c r="B70" s="1" t="s">
        <v>130</v>
      </c>
      <c r="C70" s="35" t="s">
        <v>51</v>
      </c>
      <c r="D70" s="36" t="s">
        <v>9</v>
      </c>
      <c r="E70" s="36">
        <v>72</v>
      </c>
      <c r="F70" s="1">
        <v>0</v>
      </c>
      <c r="G70" s="37">
        <f t="shared" si="0"/>
        <v>0</v>
      </c>
    </row>
    <row r="71" spans="1:7" ht="15" customHeight="1" x14ac:dyDescent="0.3">
      <c r="A71" s="6">
        <v>69</v>
      </c>
      <c r="B71" s="1" t="s">
        <v>130</v>
      </c>
      <c r="C71" s="6" t="s">
        <v>52</v>
      </c>
      <c r="D71" s="1" t="s">
        <v>9</v>
      </c>
      <c r="E71" s="1">
        <v>65</v>
      </c>
      <c r="F71" s="1">
        <v>0</v>
      </c>
      <c r="G71" s="16">
        <f t="shared" si="0"/>
        <v>0</v>
      </c>
    </row>
    <row r="72" spans="1:7" ht="15" customHeight="1" x14ac:dyDescent="0.3">
      <c r="A72" s="6">
        <v>70</v>
      </c>
      <c r="B72" s="1" t="s">
        <v>130</v>
      </c>
      <c r="C72" s="6" t="s">
        <v>53</v>
      </c>
      <c r="D72" s="1" t="s">
        <v>9</v>
      </c>
      <c r="E72" s="1">
        <v>107</v>
      </c>
      <c r="F72" s="1">
        <v>0</v>
      </c>
      <c r="G72" s="16">
        <f t="shared" si="0"/>
        <v>0</v>
      </c>
    </row>
    <row r="73" spans="1:7" ht="15" customHeight="1" x14ac:dyDescent="0.3">
      <c r="A73" s="6">
        <v>71</v>
      </c>
      <c r="B73" s="1" t="s">
        <v>130</v>
      </c>
      <c r="C73" s="6" t="s">
        <v>54</v>
      </c>
      <c r="D73" s="1" t="s">
        <v>9</v>
      </c>
      <c r="E73" s="1">
        <v>52</v>
      </c>
      <c r="F73" s="1">
        <v>0</v>
      </c>
      <c r="G73" s="16">
        <f t="shared" ref="G73:G138" si="1">E73*F73</f>
        <v>0</v>
      </c>
    </row>
    <row r="74" spans="1:7" ht="15" customHeight="1" x14ac:dyDescent="0.3">
      <c r="A74" s="6">
        <v>72</v>
      </c>
      <c r="B74" s="1" t="s">
        <v>130</v>
      </c>
      <c r="C74" s="6" t="s">
        <v>55</v>
      </c>
      <c r="D74" s="1" t="s">
        <v>9</v>
      </c>
      <c r="E74" s="1">
        <v>46</v>
      </c>
      <c r="F74" s="1">
        <v>0</v>
      </c>
      <c r="G74" s="16">
        <f t="shared" si="1"/>
        <v>0</v>
      </c>
    </row>
    <row r="75" spans="1:7" ht="15" customHeight="1" x14ac:dyDescent="0.3">
      <c r="A75" s="6">
        <v>73</v>
      </c>
      <c r="B75" s="1" t="s">
        <v>130</v>
      </c>
      <c r="C75" s="6" t="s">
        <v>56</v>
      </c>
      <c r="D75" s="1" t="s">
        <v>9</v>
      </c>
      <c r="E75" s="1">
        <v>641</v>
      </c>
      <c r="F75" s="1">
        <v>0</v>
      </c>
      <c r="G75" s="16">
        <f t="shared" si="1"/>
        <v>0</v>
      </c>
    </row>
    <row r="76" spans="1:7" ht="15" customHeight="1" x14ac:dyDescent="0.3">
      <c r="A76" s="6">
        <v>74</v>
      </c>
      <c r="B76" s="1" t="s">
        <v>130</v>
      </c>
      <c r="C76" s="6" t="s">
        <v>57</v>
      </c>
      <c r="D76" s="1" t="s">
        <v>9</v>
      </c>
      <c r="E76" s="1">
        <v>555</v>
      </c>
      <c r="F76" s="1">
        <v>0</v>
      </c>
      <c r="G76" s="16">
        <f t="shared" si="1"/>
        <v>0</v>
      </c>
    </row>
    <row r="77" spans="1:7" x14ac:dyDescent="0.3">
      <c r="A77" s="6">
        <v>75</v>
      </c>
      <c r="B77" s="1" t="s">
        <v>130</v>
      </c>
      <c r="C77" s="6" t="s">
        <v>58</v>
      </c>
      <c r="D77" s="1" t="s">
        <v>9</v>
      </c>
      <c r="E77" s="1">
        <v>313</v>
      </c>
      <c r="F77" s="1">
        <v>0</v>
      </c>
      <c r="G77" s="16">
        <f t="shared" si="1"/>
        <v>0</v>
      </c>
    </row>
    <row r="78" spans="1:7" ht="15" customHeight="1" x14ac:dyDescent="0.3">
      <c r="A78" s="6">
        <v>76</v>
      </c>
      <c r="B78" s="1" t="s">
        <v>130</v>
      </c>
      <c r="C78" s="6" t="s">
        <v>59</v>
      </c>
      <c r="D78" s="1" t="s">
        <v>9</v>
      </c>
      <c r="E78" s="1">
        <v>24</v>
      </c>
      <c r="F78" s="1">
        <v>0</v>
      </c>
      <c r="G78" s="16">
        <f t="shared" si="1"/>
        <v>0</v>
      </c>
    </row>
    <row r="79" spans="1:7" ht="15" customHeight="1" x14ac:dyDescent="0.3">
      <c r="A79" s="6">
        <v>77</v>
      </c>
      <c r="B79" s="1" t="s">
        <v>130</v>
      </c>
      <c r="C79" s="6" t="s">
        <v>625</v>
      </c>
      <c r="D79" s="1" t="s">
        <v>9</v>
      </c>
      <c r="E79" s="1">
        <v>24</v>
      </c>
      <c r="F79" s="1">
        <v>0</v>
      </c>
      <c r="G79" s="16">
        <f t="shared" si="1"/>
        <v>0</v>
      </c>
    </row>
    <row r="80" spans="1:7" ht="15" customHeight="1" x14ac:dyDescent="0.3">
      <c r="A80" s="6">
        <v>78</v>
      </c>
      <c r="B80" s="1" t="s">
        <v>130</v>
      </c>
      <c r="C80" s="6" t="s">
        <v>60</v>
      </c>
      <c r="D80" s="1" t="s">
        <v>9</v>
      </c>
      <c r="E80" s="1">
        <v>35</v>
      </c>
      <c r="F80" s="1">
        <v>0</v>
      </c>
      <c r="G80" s="16">
        <f t="shared" si="1"/>
        <v>0</v>
      </c>
    </row>
    <row r="81" spans="1:7" ht="15" customHeight="1" x14ac:dyDescent="0.3">
      <c r="A81" s="6">
        <v>79</v>
      </c>
      <c r="B81" s="1" t="s">
        <v>130</v>
      </c>
      <c r="C81" s="6" t="s">
        <v>688</v>
      </c>
      <c r="D81" s="1" t="s">
        <v>9</v>
      </c>
      <c r="E81" s="1">
        <v>605</v>
      </c>
      <c r="F81" s="1">
        <v>0</v>
      </c>
      <c r="G81" s="16">
        <f t="shared" si="1"/>
        <v>0</v>
      </c>
    </row>
    <row r="82" spans="1:7" ht="15" customHeight="1" x14ac:dyDescent="0.3">
      <c r="A82" s="6">
        <v>80</v>
      </c>
      <c r="B82" s="1" t="s">
        <v>130</v>
      </c>
      <c r="C82" s="6" t="s">
        <v>63</v>
      </c>
      <c r="D82" s="1" t="s">
        <v>9</v>
      </c>
      <c r="E82" s="1">
        <v>1433</v>
      </c>
      <c r="F82" s="1">
        <v>0</v>
      </c>
      <c r="G82" s="16">
        <f t="shared" si="1"/>
        <v>0</v>
      </c>
    </row>
    <row r="83" spans="1:7" x14ac:dyDescent="0.3">
      <c r="A83" s="6">
        <v>81</v>
      </c>
      <c r="B83" s="1" t="s">
        <v>130</v>
      </c>
      <c r="C83" s="6" t="s">
        <v>731</v>
      </c>
      <c r="D83" s="1" t="s">
        <v>9</v>
      </c>
      <c r="E83" s="1">
        <v>5200</v>
      </c>
      <c r="F83" s="1">
        <v>0</v>
      </c>
      <c r="G83" s="16">
        <f t="shared" si="1"/>
        <v>0</v>
      </c>
    </row>
    <row r="84" spans="1:7" x14ac:dyDescent="0.3">
      <c r="A84" s="6">
        <v>82</v>
      </c>
      <c r="B84" s="1" t="s">
        <v>130</v>
      </c>
      <c r="C84" s="6" t="s">
        <v>732</v>
      </c>
      <c r="D84" s="1" t="s">
        <v>9</v>
      </c>
      <c r="E84" s="1">
        <v>1193</v>
      </c>
      <c r="F84" s="1">
        <v>0</v>
      </c>
      <c r="G84" s="16">
        <f t="shared" si="1"/>
        <v>0</v>
      </c>
    </row>
    <row r="85" spans="1:7" ht="15" customHeight="1" x14ac:dyDescent="0.3">
      <c r="A85" s="6">
        <v>83</v>
      </c>
      <c r="B85" s="1" t="s">
        <v>130</v>
      </c>
      <c r="C85" s="6" t="s">
        <v>61</v>
      </c>
      <c r="D85" s="1" t="s">
        <v>9</v>
      </c>
      <c r="E85" s="1">
        <v>3199</v>
      </c>
      <c r="F85" s="1">
        <v>0</v>
      </c>
      <c r="G85" s="16">
        <f t="shared" si="1"/>
        <v>0</v>
      </c>
    </row>
    <row r="86" spans="1:7" ht="15" customHeight="1" x14ac:dyDescent="0.3">
      <c r="A86" s="6">
        <v>84</v>
      </c>
      <c r="B86" s="1" t="s">
        <v>130</v>
      </c>
      <c r="C86" s="6" t="s">
        <v>62</v>
      </c>
      <c r="D86" s="1" t="s">
        <v>1</v>
      </c>
      <c r="E86" s="1">
        <v>339</v>
      </c>
      <c r="F86" s="1">
        <v>0</v>
      </c>
      <c r="G86" s="16">
        <f t="shared" si="1"/>
        <v>0</v>
      </c>
    </row>
    <row r="87" spans="1:7" ht="15" customHeight="1" x14ac:dyDescent="0.3">
      <c r="A87" s="6">
        <v>85</v>
      </c>
      <c r="B87" s="1" t="s">
        <v>130</v>
      </c>
      <c r="C87" s="6" t="s">
        <v>737</v>
      </c>
      <c r="D87" s="1" t="s">
        <v>1</v>
      </c>
      <c r="E87" s="1">
        <v>1045</v>
      </c>
      <c r="F87" s="1">
        <v>0</v>
      </c>
      <c r="G87" s="16">
        <f t="shared" si="1"/>
        <v>0</v>
      </c>
    </row>
    <row r="88" spans="1:7" ht="15" customHeight="1" x14ac:dyDescent="0.3">
      <c r="A88" s="6">
        <v>86</v>
      </c>
      <c r="B88" s="1" t="s">
        <v>130</v>
      </c>
      <c r="C88" s="6" t="s">
        <v>180</v>
      </c>
      <c r="D88" s="1" t="s">
        <v>9</v>
      </c>
      <c r="E88" s="1">
        <v>1081</v>
      </c>
      <c r="F88" s="1">
        <v>0</v>
      </c>
      <c r="G88" s="16">
        <f t="shared" si="1"/>
        <v>0</v>
      </c>
    </row>
    <row r="89" spans="1:7" ht="15" customHeight="1" x14ac:dyDescent="0.3">
      <c r="A89" s="6">
        <v>87</v>
      </c>
      <c r="B89" s="1" t="s">
        <v>130</v>
      </c>
      <c r="C89" s="6" t="s">
        <v>181</v>
      </c>
      <c r="D89" s="1" t="s">
        <v>9</v>
      </c>
      <c r="E89" s="1">
        <v>1636</v>
      </c>
      <c r="F89" s="1">
        <v>0</v>
      </c>
      <c r="G89" s="16">
        <f t="shared" si="1"/>
        <v>0</v>
      </c>
    </row>
    <row r="90" spans="1:7" ht="15" customHeight="1" x14ac:dyDescent="0.3">
      <c r="A90" s="6">
        <v>88</v>
      </c>
      <c r="B90" s="1" t="s">
        <v>130</v>
      </c>
      <c r="C90" s="6" t="s">
        <v>64</v>
      </c>
      <c r="D90" s="1" t="s">
        <v>9</v>
      </c>
      <c r="E90" s="1">
        <v>2238</v>
      </c>
      <c r="F90" s="1">
        <v>0</v>
      </c>
      <c r="G90" s="16">
        <f t="shared" si="1"/>
        <v>0</v>
      </c>
    </row>
    <row r="91" spans="1:7" ht="15" customHeight="1" x14ac:dyDescent="0.3">
      <c r="A91" s="6">
        <v>89</v>
      </c>
      <c r="B91" s="1" t="s">
        <v>130</v>
      </c>
      <c r="C91" s="6" t="s">
        <v>65</v>
      </c>
      <c r="D91" s="1" t="s">
        <v>9</v>
      </c>
      <c r="E91" s="1">
        <v>3100</v>
      </c>
      <c r="F91" s="1">
        <v>0</v>
      </c>
      <c r="G91" s="16">
        <f t="shared" si="1"/>
        <v>0</v>
      </c>
    </row>
    <row r="92" spans="1:7" ht="15" customHeight="1" x14ac:dyDescent="0.3">
      <c r="A92" s="6">
        <v>90</v>
      </c>
      <c r="B92" s="1" t="s">
        <v>130</v>
      </c>
      <c r="C92" s="6" t="s">
        <v>66</v>
      </c>
      <c r="D92" s="1" t="s">
        <v>9</v>
      </c>
      <c r="E92" s="1">
        <v>1510</v>
      </c>
      <c r="F92" s="1">
        <v>0</v>
      </c>
      <c r="G92" s="16">
        <f t="shared" si="1"/>
        <v>0</v>
      </c>
    </row>
    <row r="93" spans="1:7" ht="20.25" customHeight="1" x14ac:dyDescent="0.3">
      <c r="A93" s="6">
        <v>91</v>
      </c>
      <c r="B93" s="1" t="s">
        <v>130</v>
      </c>
      <c r="C93" s="35" t="s">
        <v>67</v>
      </c>
      <c r="D93" s="36" t="s">
        <v>9</v>
      </c>
      <c r="E93" s="36">
        <v>1498</v>
      </c>
      <c r="F93" s="1">
        <v>0</v>
      </c>
      <c r="G93" s="37">
        <f t="shared" si="1"/>
        <v>0</v>
      </c>
    </row>
    <row r="94" spans="1:7" ht="15" customHeight="1" x14ac:dyDescent="0.3">
      <c r="A94" s="6">
        <v>92</v>
      </c>
      <c r="B94" s="1" t="s">
        <v>130</v>
      </c>
      <c r="C94" s="6" t="s">
        <v>11</v>
      </c>
      <c r="D94" s="1" t="s">
        <v>9</v>
      </c>
      <c r="E94" s="1">
        <v>394</v>
      </c>
      <c r="F94" s="1">
        <v>0</v>
      </c>
      <c r="G94" s="16">
        <f t="shared" si="1"/>
        <v>0</v>
      </c>
    </row>
    <row r="95" spans="1:7" ht="15" customHeight="1" x14ac:dyDescent="0.3">
      <c r="A95" s="6">
        <v>93</v>
      </c>
      <c r="B95" s="1" t="s">
        <v>130</v>
      </c>
      <c r="C95" s="6" t="s">
        <v>182</v>
      </c>
      <c r="D95" s="1" t="s">
        <v>9</v>
      </c>
      <c r="E95" s="1">
        <v>110</v>
      </c>
      <c r="F95" s="1">
        <v>0</v>
      </c>
      <c r="G95" s="16">
        <f t="shared" si="1"/>
        <v>0</v>
      </c>
    </row>
    <row r="96" spans="1:7" ht="15" customHeight="1" x14ac:dyDescent="0.3">
      <c r="A96" s="6">
        <v>94</v>
      </c>
      <c r="B96" s="1" t="s">
        <v>130</v>
      </c>
      <c r="C96" s="6" t="s">
        <v>183</v>
      </c>
      <c r="D96" s="1" t="s">
        <v>9</v>
      </c>
      <c r="E96" s="1">
        <v>201</v>
      </c>
      <c r="F96" s="1">
        <v>0</v>
      </c>
      <c r="G96" s="16">
        <f t="shared" si="1"/>
        <v>0</v>
      </c>
    </row>
    <row r="97" spans="1:7" ht="15" customHeight="1" x14ac:dyDescent="0.3">
      <c r="A97" s="6">
        <v>95</v>
      </c>
      <c r="B97" s="1" t="s">
        <v>130</v>
      </c>
      <c r="C97" s="6" t="s">
        <v>184</v>
      </c>
      <c r="D97" s="1" t="s">
        <v>9</v>
      </c>
      <c r="E97" s="1">
        <v>30</v>
      </c>
      <c r="F97" s="1">
        <v>0</v>
      </c>
      <c r="G97" s="16">
        <f t="shared" si="1"/>
        <v>0</v>
      </c>
    </row>
    <row r="98" spans="1:7" ht="15" customHeight="1" x14ac:dyDescent="0.3">
      <c r="A98" s="6">
        <v>96</v>
      </c>
      <c r="B98" s="1" t="s">
        <v>130</v>
      </c>
      <c r="C98" s="6" t="s">
        <v>185</v>
      </c>
      <c r="D98" s="1" t="s">
        <v>9</v>
      </c>
      <c r="E98" s="1">
        <v>148</v>
      </c>
      <c r="F98" s="1">
        <v>0</v>
      </c>
      <c r="G98" s="16">
        <f t="shared" si="1"/>
        <v>0</v>
      </c>
    </row>
    <row r="99" spans="1:7" ht="15" customHeight="1" x14ac:dyDescent="0.3">
      <c r="A99" s="6">
        <v>97</v>
      </c>
      <c r="B99" s="1" t="s">
        <v>130</v>
      </c>
      <c r="C99" s="6" t="s">
        <v>187</v>
      </c>
      <c r="D99" s="1" t="s">
        <v>9</v>
      </c>
      <c r="E99" s="1">
        <v>224</v>
      </c>
      <c r="F99" s="1">
        <v>0</v>
      </c>
      <c r="G99" s="16">
        <f t="shared" si="1"/>
        <v>0</v>
      </c>
    </row>
    <row r="100" spans="1:7" ht="15" customHeight="1" x14ac:dyDescent="0.3">
      <c r="A100" s="6">
        <v>98</v>
      </c>
      <c r="B100" s="1" t="s">
        <v>130</v>
      </c>
      <c r="C100" s="6" t="s">
        <v>186</v>
      </c>
      <c r="D100" s="1" t="s">
        <v>9</v>
      </c>
      <c r="E100" s="1">
        <v>774</v>
      </c>
      <c r="F100" s="1">
        <v>0</v>
      </c>
      <c r="G100" s="16">
        <f t="shared" si="1"/>
        <v>0</v>
      </c>
    </row>
    <row r="101" spans="1:7" ht="15" customHeight="1" x14ac:dyDescent="0.3">
      <c r="A101" s="6">
        <v>99</v>
      </c>
      <c r="B101" s="1" t="s">
        <v>130</v>
      </c>
      <c r="C101" s="6" t="s">
        <v>68</v>
      </c>
      <c r="D101" s="1" t="s">
        <v>9</v>
      </c>
      <c r="E101" s="1">
        <v>37</v>
      </c>
      <c r="F101" s="1">
        <v>0</v>
      </c>
      <c r="G101" s="16">
        <f t="shared" si="1"/>
        <v>0</v>
      </c>
    </row>
    <row r="102" spans="1:7" ht="15" customHeight="1" x14ac:dyDescent="0.3">
      <c r="A102" s="6">
        <v>100</v>
      </c>
      <c r="B102" s="1" t="s">
        <v>130</v>
      </c>
      <c r="C102" s="6" t="s">
        <v>69</v>
      </c>
      <c r="D102" s="1" t="s">
        <v>9</v>
      </c>
      <c r="E102" s="1">
        <v>56</v>
      </c>
      <c r="F102" s="1">
        <v>0</v>
      </c>
      <c r="G102" s="16">
        <f t="shared" si="1"/>
        <v>0</v>
      </c>
    </row>
    <row r="103" spans="1:7" ht="15" customHeight="1" x14ac:dyDescent="0.3">
      <c r="A103" s="6">
        <v>101</v>
      </c>
      <c r="B103" s="1" t="s">
        <v>131</v>
      </c>
      <c r="C103" s="6" t="s">
        <v>71</v>
      </c>
      <c r="D103" s="1" t="s">
        <v>2</v>
      </c>
      <c r="E103" s="1">
        <v>50000</v>
      </c>
      <c r="F103" s="1">
        <v>0</v>
      </c>
      <c r="G103" s="16">
        <f t="shared" si="1"/>
        <v>0</v>
      </c>
    </row>
    <row r="104" spans="1:7" ht="15" customHeight="1" x14ac:dyDescent="0.3">
      <c r="A104" s="6">
        <v>102</v>
      </c>
      <c r="B104" s="1" t="s">
        <v>131</v>
      </c>
      <c r="C104" s="6" t="s">
        <v>72</v>
      </c>
      <c r="D104" s="1" t="s">
        <v>2</v>
      </c>
      <c r="E104" s="1">
        <v>46000</v>
      </c>
      <c r="F104" s="1">
        <v>0</v>
      </c>
      <c r="G104" s="16">
        <f t="shared" si="1"/>
        <v>0</v>
      </c>
    </row>
    <row r="105" spans="1:7" ht="15" customHeight="1" x14ac:dyDescent="0.3">
      <c r="A105" s="6">
        <v>103</v>
      </c>
      <c r="B105" s="1" t="s">
        <v>131</v>
      </c>
      <c r="C105" s="6" t="s">
        <v>73</v>
      </c>
      <c r="D105" s="1" t="s">
        <v>2</v>
      </c>
      <c r="E105" s="1">
        <v>29000</v>
      </c>
      <c r="F105" s="1">
        <v>0</v>
      </c>
      <c r="G105" s="16">
        <f t="shared" si="1"/>
        <v>0</v>
      </c>
    </row>
    <row r="106" spans="1:7" ht="15" customHeight="1" x14ac:dyDescent="0.3">
      <c r="A106" s="6">
        <v>104</v>
      </c>
      <c r="B106" s="1" t="s">
        <v>131</v>
      </c>
      <c r="C106" s="6" t="s">
        <v>74</v>
      </c>
      <c r="D106" s="1" t="s">
        <v>9</v>
      </c>
      <c r="E106" s="1">
        <v>154</v>
      </c>
      <c r="F106" s="1">
        <v>0</v>
      </c>
      <c r="G106" s="16">
        <f t="shared" si="1"/>
        <v>0</v>
      </c>
    </row>
    <row r="107" spans="1:7" ht="15" customHeight="1" x14ac:dyDescent="0.3">
      <c r="A107" s="6">
        <v>105</v>
      </c>
      <c r="B107" s="1" t="s">
        <v>131</v>
      </c>
      <c r="C107" s="6" t="s">
        <v>76</v>
      </c>
      <c r="D107" s="1" t="s">
        <v>9</v>
      </c>
      <c r="E107" s="1">
        <v>154</v>
      </c>
      <c r="F107" s="1">
        <v>0</v>
      </c>
      <c r="G107" s="16">
        <f t="shared" si="1"/>
        <v>0</v>
      </c>
    </row>
    <row r="108" spans="1:7" ht="15" customHeight="1" x14ac:dyDescent="0.3">
      <c r="A108" s="6">
        <v>106</v>
      </c>
      <c r="B108" s="1" t="s">
        <v>131</v>
      </c>
      <c r="C108" s="6" t="s">
        <v>77</v>
      </c>
      <c r="D108" s="1" t="s">
        <v>9</v>
      </c>
      <c r="E108" s="1">
        <v>32</v>
      </c>
      <c r="F108" s="1">
        <v>0</v>
      </c>
      <c r="G108" s="16">
        <f t="shared" si="1"/>
        <v>0</v>
      </c>
    </row>
    <row r="109" spans="1:7" ht="15" customHeight="1" x14ac:dyDescent="0.3">
      <c r="A109" s="6">
        <v>107</v>
      </c>
      <c r="B109" s="1" t="s">
        <v>131</v>
      </c>
      <c r="C109" s="6" t="s">
        <v>78</v>
      </c>
      <c r="D109" s="1" t="s">
        <v>9</v>
      </c>
      <c r="E109" s="1">
        <v>507</v>
      </c>
      <c r="F109" s="1">
        <v>0</v>
      </c>
      <c r="G109" s="16">
        <f t="shared" si="1"/>
        <v>0</v>
      </c>
    </row>
    <row r="110" spans="1:7" ht="15" customHeight="1" x14ac:dyDescent="0.3">
      <c r="A110" s="6">
        <v>108</v>
      </c>
      <c r="B110" s="1" t="s">
        <v>132</v>
      </c>
      <c r="C110" s="6" t="s">
        <v>738</v>
      </c>
      <c r="D110" s="1" t="s">
        <v>9</v>
      </c>
      <c r="E110" s="1">
        <v>59</v>
      </c>
      <c r="F110" s="1">
        <v>0</v>
      </c>
      <c r="G110" s="16">
        <f t="shared" si="1"/>
        <v>0</v>
      </c>
    </row>
    <row r="111" spans="1:7" ht="15" customHeight="1" x14ac:dyDescent="0.3">
      <c r="A111" s="6">
        <v>109</v>
      </c>
      <c r="B111" s="1" t="s">
        <v>131</v>
      </c>
      <c r="C111" s="6" t="s">
        <v>80</v>
      </c>
      <c r="D111" s="1" t="s">
        <v>79</v>
      </c>
      <c r="E111" s="1">
        <v>13000</v>
      </c>
      <c r="F111" s="1">
        <v>0</v>
      </c>
      <c r="G111" s="16">
        <f t="shared" si="1"/>
        <v>0</v>
      </c>
    </row>
    <row r="112" spans="1:7" ht="15" customHeight="1" x14ac:dyDescent="0.3">
      <c r="A112" s="6">
        <v>110</v>
      </c>
      <c r="B112" s="1" t="s">
        <v>131</v>
      </c>
      <c r="C112" s="6" t="s">
        <v>81</v>
      </c>
      <c r="D112" s="1" t="s">
        <v>9</v>
      </c>
      <c r="E112" s="1">
        <v>440</v>
      </c>
      <c r="F112" s="1">
        <v>0</v>
      </c>
      <c r="G112" s="16">
        <f t="shared" si="1"/>
        <v>0</v>
      </c>
    </row>
    <row r="113" spans="1:7" ht="15" customHeight="1" x14ac:dyDescent="0.3">
      <c r="A113" s="6">
        <v>111</v>
      </c>
      <c r="B113" s="1" t="s">
        <v>131</v>
      </c>
      <c r="C113" s="6" t="s">
        <v>82</v>
      </c>
      <c r="D113" s="1" t="s">
        <v>9</v>
      </c>
      <c r="E113" s="1">
        <v>117</v>
      </c>
      <c r="F113" s="1">
        <v>0</v>
      </c>
      <c r="G113" s="16">
        <f t="shared" si="1"/>
        <v>0</v>
      </c>
    </row>
    <row r="114" spans="1:7" ht="15" customHeight="1" x14ac:dyDescent="0.3">
      <c r="A114" s="6">
        <v>112</v>
      </c>
      <c r="B114" s="1" t="s">
        <v>131</v>
      </c>
      <c r="C114" s="6" t="s">
        <v>83</v>
      </c>
      <c r="D114" s="1" t="s">
        <v>2</v>
      </c>
      <c r="E114" s="1">
        <v>48000</v>
      </c>
      <c r="F114" s="1">
        <v>0</v>
      </c>
      <c r="G114" s="16">
        <f t="shared" si="1"/>
        <v>0</v>
      </c>
    </row>
    <row r="115" spans="1:7" ht="15" customHeight="1" x14ac:dyDescent="0.3">
      <c r="A115" s="6">
        <v>113</v>
      </c>
      <c r="B115" s="1" t="s">
        <v>131</v>
      </c>
      <c r="C115" s="6" t="s">
        <v>84</v>
      </c>
      <c r="D115" s="1" t="s">
        <v>2</v>
      </c>
      <c r="E115" s="1">
        <v>41000</v>
      </c>
      <c r="F115" s="1">
        <v>0</v>
      </c>
      <c r="G115" s="16">
        <f t="shared" si="1"/>
        <v>0</v>
      </c>
    </row>
    <row r="116" spans="1:7" ht="15" customHeight="1" x14ac:dyDescent="0.3">
      <c r="A116" s="6">
        <v>114</v>
      </c>
      <c r="B116" s="1" t="s">
        <v>131</v>
      </c>
      <c r="C116" s="6" t="s">
        <v>85</v>
      </c>
      <c r="D116" s="1" t="s">
        <v>9</v>
      </c>
      <c r="E116" s="1">
        <v>259</v>
      </c>
      <c r="F116" s="1">
        <v>0</v>
      </c>
      <c r="G116" s="16">
        <f t="shared" si="1"/>
        <v>0</v>
      </c>
    </row>
    <row r="117" spans="1:7" ht="15" customHeight="1" x14ac:dyDescent="0.3">
      <c r="A117" s="6">
        <v>115</v>
      </c>
      <c r="B117" s="1" t="s">
        <v>131</v>
      </c>
      <c r="C117" s="6" t="s">
        <v>695</v>
      </c>
      <c r="D117" s="1" t="s">
        <v>2</v>
      </c>
      <c r="E117" s="1">
        <v>22000</v>
      </c>
      <c r="F117" s="1">
        <v>0</v>
      </c>
      <c r="G117" s="16">
        <f t="shared" si="1"/>
        <v>0</v>
      </c>
    </row>
    <row r="118" spans="1:7" ht="15" customHeight="1" x14ac:dyDescent="0.3">
      <c r="A118" s="6">
        <v>116</v>
      </c>
      <c r="B118" s="1" t="s">
        <v>131</v>
      </c>
      <c r="C118" s="6" t="s">
        <v>696</v>
      </c>
      <c r="D118" s="1" t="s">
        <v>2</v>
      </c>
      <c r="E118" s="1">
        <v>21000</v>
      </c>
      <c r="F118" s="1">
        <v>0</v>
      </c>
      <c r="G118" s="16">
        <f t="shared" si="1"/>
        <v>0</v>
      </c>
    </row>
    <row r="119" spans="1:7" ht="15" customHeight="1" x14ac:dyDescent="0.3">
      <c r="A119" s="6">
        <v>117</v>
      </c>
      <c r="B119" s="1" t="s">
        <v>131</v>
      </c>
      <c r="C119" s="6" t="s">
        <v>86</v>
      </c>
      <c r="D119" s="1" t="s">
        <v>79</v>
      </c>
      <c r="E119" s="1">
        <v>16000</v>
      </c>
      <c r="F119" s="1">
        <v>0</v>
      </c>
      <c r="G119" s="16">
        <f t="shared" si="1"/>
        <v>0</v>
      </c>
    </row>
    <row r="120" spans="1:7" ht="15" customHeight="1" x14ac:dyDescent="0.3">
      <c r="A120" s="6">
        <v>118</v>
      </c>
      <c r="B120" s="1" t="s">
        <v>131</v>
      </c>
      <c r="C120" s="6" t="s">
        <v>136</v>
      </c>
      <c r="D120" s="1" t="s">
        <v>9</v>
      </c>
      <c r="E120" s="1">
        <v>293</v>
      </c>
      <c r="F120" s="1">
        <v>0</v>
      </c>
      <c r="G120" s="16">
        <f t="shared" si="1"/>
        <v>0</v>
      </c>
    </row>
    <row r="121" spans="1:7" ht="15" customHeight="1" x14ac:dyDescent="0.3">
      <c r="A121" s="6">
        <v>119</v>
      </c>
      <c r="B121" s="1" t="s">
        <v>131</v>
      </c>
      <c r="C121" s="6" t="s">
        <v>87</v>
      </c>
      <c r="D121" s="1" t="s">
        <v>1</v>
      </c>
      <c r="E121" s="1">
        <v>1272</v>
      </c>
      <c r="F121" s="1">
        <v>0</v>
      </c>
      <c r="G121" s="16">
        <f t="shared" si="1"/>
        <v>0</v>
      </c>
    </row>
    <row r="122" spans="1:7" ht="15" customHeight="1" x14ac:dyDescent="0.3">
      <c r="A122" s="6">
        <v>120</v>
      </c>
      <c r="B122" s="1" t="s">
        <v>131</v>
      </c>
      <c r="C122" s="6" t="s">
        <v>88</v>
      </c>
      <c r="D122" s="1" t="s">
        <v>1</v>
      </c>
      <c r="E122" s="1">
        <v>1274</v>
      </c>
      <c r="F122" s="1">
        <v>0</v>
      </c>
      <c r="G122" s="16">
        <f t="shared" si="1"/>
        <v>0</v>
      </c>
    </row>
    <row r="123" spans="1:7" ht="15" customHeight="1" x14ac:dyDescent="0.3">
      <c r="A123" s="6">
        <v>121</v>
      </c>
      <c r="B123" s="1" t="s">
        <v>131</v>
      </c>
      <c r="C123" s="6" t="s">
        <v>89</v>
      </c>
      <c r="D123" s="1" t="s">
        <v>8</v>
      </c>
      <c r="E123" s="1">
        <v>1281</v>
      </c>
      <c r="F123" s="1">
        <v>0</v>
      </c>
      <c r="G123" s="16">
        <f t="shared" si="1"/>
        <v>0</v>
      </c>
    </row>
    <row r="124" spans="1:7" ht="15" customHeight="1" x14ac:dyDescent="0.3">
      <c r="A124" s="6">
        <v>122</v>
      </c>
      <c r="B124" s="1" t="s">
        <v>132</v>
      </c>
      <c r="C124" s="6" t="s">
        <v>90</v>
      </c>
      <c r="D124" s="1" t="s">
        <v>9</v>
      </c>
      <c r="E124" s="1">
        <v>918</v>
      </c>
      <c r="F124" s="1">
        <v>0</v>
      </c>
      <c r="G124" s="16">
        <f t="shared" si="1"/>
        <v>0</v>
      </c>
    </row>
    <row r="125" spans="1:7" ht="15" customHeight="1" x14ac:dyDescent="0.3">
      <c r="A125" s="6">
        <v>123</v>
      </c>
      <c r="B125" s="1" t="s">
        <v>132</v>
      </c>
      <c r="C125" s="6" t="s">
        <v>91</v>
      </c>
      <c r="D125" s="1" t="s">
        <v>9</v>
      </c>
      <c r="E125" s="1">
        <v>1203</v>
      </c>
      <c r="F125" s="1">
        <v>0</v>
      </c>
      <c r="G125" s="16">
        <f t="shared" si="1"/>
        <v>0</v>
      </c>
    </row>
    <row r="126" spans="1:7" ht="15" customHeight="1" x14ac:dyDescent="0.3">
      <c r="A126" s="6">
        <v>124</v>
      </c>
      <c r="B126" s="1" t="s">
        <v>132</v>
      </c>
      <c r="C126" s="6" t="s">
        <v>92</v>
      </c>
      <c r="D126" s="1" t="s">
        <v>9</v>
      </c>
      <c r="E126" s="1">
        <v>1489</v>
      </c>
      <c r="F126" s="1">
        <v>0</v>
      </c>
      <c r="G126" s="16">
        <f t="shared" si="1"/>
        <v>0</v>
      </c>
    </row>
    <row r="127" spans="1:7" ht="15" customHeight="1" x14ac:dyDescent="0.3">
      <c r="A127" s="6">
        <v>125</v>
      </c>
      <c r="B127" s="1" t="s">
        <v>132</v>
      </c>
      <c r="C127" s="6" t="s">
        <v>134</v>
      </c>
      <c r="D127" s="1" t="s">
        <v>9</v>
      </c>
      <c r="E127" s="1">
        <v>2978</v>
      </c>
      <c r="F127" s="1">
        <v>0</v>
      </c>
      <c r="G127" s="16">
        <f t="shared" si="1"/>
        <v>0</v>
      </c>
    </row>
    <row r="128" spans="1:7" ht="15" customHeight="1" x14ac:dyDescent="0.3">
      <c r="A128" s="6">
        <v>126</v>
      </c>
      <c r="B128" s="1" t="s">
        <v>132</v>
      </c>
      <c r="C128" s="6" t="s">
        <v>621</v>
      </c>
      <c r="D128" s="1" t="s">
        <v>9</v>
      </c>
      <c r="E128" s="1">
        <v>1846</v>
      </c>
      <c r="F128" s="1">
        <v>0</v>
      </c>
      <c r="G128" s="16">
        <f t="shared" si="1"/>
        <v>0</v>
      </c>
    </row>
    <row r="129" spans="1:7" ht="15" customHeight="1" x14ac:dyDescent="0.3">
      <c r="A129" s="6">
        <v>127</v>
      </c>
      <c r="B129" s="1" t="s">
        <v>132</v>
      </c>
      <c r="C129" s="6" t="s">
        <v>622</v>
      </c>
      <c r="D129" s="1" t="s">
        <v>9</v>
      </c>
      <c r="E129" s="1">
        <v>2141</v>
      </c>
      <c r="F129" s="1">
        <v>0</v>
      </c>
      <c r="G129" s="16">
        <f t="shared" si="1"/>
        <v>0</v>
      </c>
    </row>
    <row r="130" spans="1:7" ht="15" customHeight="1" x14ac:dyDescent="0.3">
      <c r="A130" s="6">
        <v>128</v>
      </c>
      <c r="B130" s="1" t="s">
        <v>132</v>
      </c>
      <c r="C130" s="6" t="s">
        <v>623</v>
      </c>
      <c r="D130" s="1" t="s">
        <v>9</v>
      </c>
      <c r="E130" s="1">
        <v>2808</v>
      </c>
      <c r="F130" s="1">
        <v>0</v>
      </c>
      <c r="G130" s="16">
        <f t="shared" si="1"/>
        <v>0</v>
      </c>
    </row>
    <row r="131" spans="1:7" ht="15" customHeight="1" x14ac:dyDescent="0.3">
      <c r="A131" s="6">
        <v>129</v>
      </c>
      <c r="B131" s="1" t="s">
        <v>132</v>
      </c>
      <c r="C131" s="6" t="s">
        <v>624</v>
      </c>
      <c r="D131" s="1" t="s">
        <v>9</v>
      </c>
      <c r="E131" s="1">
        <v>3141</v>
      </c>
      <c r="F131" s="1">
        <v>0</v>
      </c>
      <c r="G131" s="16">
        <f t="shared" si="1"/>
        <v>0</v>
      </c>
    </row>
    <row r="132" spans="1:7" ht="15" customHeight="1" x14ac:dyDescent="0.3">
      <c r="A132" s="6">
        <v>130</v>
      </c>
      <c r="B132" s="1" t="s">
        <v>132</v>
      </c>
      <c r="C132" s="6" t="s">
        <v>133</v>
      </c>
      <c r="D132" s="1" t="s">
        <v>9</v>
      </c>
      <c r="E132" s="1">
        <v>6546</v>
      </c>
      <c r="F132" s="1">
        <v>0</v>
      </c>
      <c r="G132" s="16">
        <f t="shared" si="1"/>
        <v>0</v>
      </c>
    </row>
    <row r="133" spans="1:7" ht="15" customHeight="1" x14ac:dyDescent="0.3">
      <c r="A133" s="6">
        <v>131</v>
      </c>
      <c r="B133" s="1" t="s">
        <v>132</v>
      </c>
      <c r="C133" s="6" t="s">
        <v>135</v>
      </c>
      <c r="D133" s="1" t="s">
        <v>9</v>
      </c>
      <c r="E133" s="1">
        <v>2205</v>
      </c>
      <c r="F133" s="1">
        <v>0</v>
      </c>
      <c r="G133" s="16">
        <f t="shared" si="1"/>
        <v>0</v>
      </c>
    </row>
    <row r="134" spans="1:7" ht="15" customHeight="1" x14ac:dyDescent="0.3">
      <c r="A134" s="6">
        <v>132</v>
      </c>
      <c r="B134" s="1" t="s">
        <v>132</v>
      </c>
      <c r="C134" s="6" t="s">
        <v>137</v>
      </c>
      <c r="D134" s="1" t="s">
        <v>9</v>
      </c>
      <c r="E134" s="1">
        <v>2665</v>
      </c>
      <c r="F134" s="1">
        <v>0</v>
      </c>
      <c r="G134" s="16">
        <f t="shared" si="1"/>
        <v>0</v>
      </c>
    </row>
    <row r="135" spans="1:7" ht="15" customHeight="1" x14ac:dyDescent="0.3">
      <c r="A135" s="6">
        <v>133</v>
      </c>
      <c r="B135" s="1" t="s">
        <v>132</v>
      </c>
      <c r="C135" s="6" t="s">
        <v>138</v>
      </c>
      <c r="D135" s="1" t="s">
        <v>9</v>
      </c>
      <c r="E135" s="1">
        <v>2998</v>
      </c>
      <c r="F135" s="1">
        <v>0</v>
      </c>
      <c r="G135" s="16">
        <f t="shared" si="1"/>
        <v>0</v>
      </c>
    </row>
    <row r="136" spans="1:7" ht="15" customHeight="1" x14ac:dyDescent="0.3">
      <c r="A136" s="6">
        <v>134</v>
      </c>
      <c r="B136" s="1" t="s">
        <v>132</v>
      </c>
      <c r="C136" s="6" t="s">
        <v>139</v>
      </c>
      <c r="D136" s="1" t="s">
        <v>9</v>
      </c>
      <c r="E136" s="1">
        <v>5087</v>
      </c>
      <c r="F136" s="1">
        <v>0</v>
      </c>
      <c r="G136" s="16">
        <f t="shared" si="1"/>
        <v>0</v>
      </c>
    </row>
    <row r="137" spans="1:7" ht="15" customHeight="1" x14ac:dyDescent="0.3">
      <c r="A137" s="6">
        <v>135</v>
      </c>
      <c r="B137" s="1" t="s">
        <v>132</v>
      </c>
      <c r="C137" s="6" t="s">
        <v>93</v>
      </c>
      <c r="D137" s="1" t="s">
        <v>9</v>
      </c>
      <c r="E137" s="1">
        <v>292</v>
      </c>
      <c r="F137" s="1">
        <v>0</v>
      </c>
      <c r="G137" s="16">
        <f t="shared" si="1"/>
        <v>0</v>
      </c>
    </row>
    <row r="138" spans="1:7" ht="15" customHeight="1" x14ac:dyDescent="0.3">
      <c r="A138" s="6">
        <v>136</v>
      </c>
      <c r="B138" s="1" t="s">
        <v>132</v>
      </c>
      <c r="C138" s="6" t="s">
        <v>94</v>
      </c>
      <c r="D138" s="1" t="s">
        <v>9</v>
      </c>
      <c r="E138" s="1">
        <v>408</v>
      </c>
      <c r="F138" s="1">
        <v>0</v>
      </c>
      <c r="G138" s="16">
        <f t="shared" si="1"/>
        <v>0</v>
      </c>
    </row>
    <row r="139" spans="1:7" ht="15" customHeight="1" x14ac:dyDescent="0.3">
      <c r="A139" s="6">
        <v>137</v>
      </c>
      <c r="B139" s="1" t="s">
        <v>132</v>
      </c>
      <c r="C139" s="6" t="s">
        <v>95</v>
      </c>
      <c r="D139" s="1" t="s">
        <v>9</v>
      </c>
      <c r="E139" s="1">
        <v>483</v>
      </c>
      <c r="F139" s="1">
        <v>0</v>
      </c>
      <c r="G139" s="16">
        <f t="shared" ref="G139:G202" si="2">E139*F139</f>
        <v>0</v>
      </c>
    </row>
    <row r="140" spans="1:7" ht="15" customHeight="1" x14ac:dyDescent="0.3">
      <c r="A140" s="6">
        <v>138</v>
      </c>
      <c r="B140" s="1" t="s">
        <v>132</v>
      </c>
      <c r="C140" s="6" t="s">
        <v>692</v>
      </c>
      <c r="D140" s="1" t="s">
        <v>9</v>
      </c>
      <c r="E140" s="1">
        <v>150</v>
      </c>
      <c r="F140" s="1">
        <v>0</v>
      </c>
      <c r="G140" s="16">
        <f t="shared" si="2"/>
        <v>0</v>
      </c>
    </row>
    <row r="141" spans="1:7" ht="15" customHeight="1" x14ac:dyDescent="0.3">
      <c r="A141" s="6">
        <v>139</v>
      </c>
      <c r="B141" s="1" t="s">
        <v>132</v>
      </c>
      <c r="C141" s="6" t="s">
        <v>735</v>
      </c>
      <c r="D141" s="1" t="s">
        <v>9</v>
      </c>
      <c r="E141" s="1">
        <v>388</v>
      </c>
      <c r="F141" s="1">
        <v>0</v>
      </c>
      <c r="G141" s="16">
        <f t="shared" si="2"/>
        <v>0</v>
      </c>
    </row>
    <row r="142" spans="1:7" ht="15" customHeight="1" x14ac:dyDescent="0.3">
      <c r="A142" s="6">
        <v>140</v>
      </c>
      <c r="B142" s="1" t="s">
        <v>132</v>
      </c>
      <c r="C142" s="6" t="s">
        <v>693</v>
      </c>
      <c r="D142" s="1" t="s">
        <v>9</v>
      </c>
      <c r="E142" s="1">
        <v>53</v>
      </c>
      <c r="F142" s="1">
        <v>0</v>
      </c>
      <c r="G142" s="16">
        <f t="shared" si="2"/>
        <v>0</v>
      </c>
    </row>
    <row r="143" spans="1:7" ht="15" customHeight="1" x14ac:dyDescent="0.3">
      <c r="A143" s="6">
        <v>141</v>
      </c>
      <c r="B143" s="1" t="s">
        <v>132</v>
      </c>
      <c r="C143" s="6" t="s">
        <v>694</v>
      </c>
      <c r="D143" s="1" t="s">
        <v>9</v>
      </c>
      <c r="E143" s="1">
        <v>53</v>
      </c>
      <c r="F143" s="1">
        <v>0</v>
      </c>
      <c r="G143" s="16">
        <f t="shared" si="2"/>
        <v>0</v>
      </c>
    </row>
    <row r="144" spans="1:7" ht="15" customHeight="1" x14ac:dyDescent="0.3">
      <c r="A144" s="6">
        <v>142</v>
      </c>
      <c r="B144" s="1" t="s">
        <v>132</v>
      </c>
      <c r="C144" s="6" t="s">
        <v>96</v>
      </c>
      <c r="D144" s="1" t="s">
        <v>9</v>
      </c>
      <c r="E144" s="1">
        <v>61</v>
      </c>
      <c r="F144" s="1">
        <v>0</v>
      </c>
      <c r="G144" s="16">
        <f t="shared" si="2"/>
        <v>0</v>
      </c>
    </row>
    <row r="145" spans="1:7" ht="15" customHeight="1" x14ac:dyDescent="0.3">
      <c r="A145" s="6">
        <v>143</v>
      </c>
      <c r="B145" s="1" t="s">
        <v>132</v>
      </c>
      <c r="C145" s="6" t="s">
        <v>97</v>
      </c>
      <c r="D145" s="1" t="s">
        <v>9</v>
      </c>
      <c r="E145" s="1">
        <v>72</v>
      </c>
      <c r="F145" s="1">
        <v>0</v>
      </c>
      <c r="G145" s="16">
        <f t="shared" si="2"/>
        <v>0</v>
      </c>
    </row>
    <row r="146" spans="1:7" ht="15" customHeight="1" x14ac:dyDescent="0.3">
      <c r="A146" s="6">
        <v>144</v>
      </c>
      <c r="B146" s="1" t="s">
        <v>132</v>
      </c>
      <c r="C146" s="6" t="s">
        <v>140</v>
      </c>
      <c r="D146" s="1" t="s">
        <v>9</v>
      </c>
      <c r="E146" s="1">
        <v>38</v>
      </c>
      <c r="F146" s="1">
        <v>0</v>
      </c>
      <c r="G146" s="16">
        <f t="shared" si="2"/>
        <v>0</v>
      </c>
    </row>
    <row r="147" spans="1:7" ht="15" customHeight="1" x14ac:dyDescent="0.3">
      <c r="A147" s="6">
        <v>145</v>
      </c>
      <c r="B147" s="1" t="s">
        <v>132</v>
      </c>
      <c r="C147" s="6" t="s">
        <v>98</v>
      </c>
      <c r="D147" s="1" t="s">
        <v>6</v>
      </c>
      <c r="E147" s="1">
        <v>41</v>
      </c>
      <c r="F147" s="1">
        <v>0</v>
      </c>
      <c r="G147" s="16">
        <f t="shared" si="2"/>
        <v>0</v>
      </c>
    </row>
    <row r="148" spans="1:7" ht="15" customHeight="1" x14ac:dyDescent="0.3">
      <c r="A148" s="6">
        <v>146</v>
      </c>
      <c r="B148" s="1" t="s">
        <v>132</v>
      </c>
      <c r="C148" s="6" t="s">
        <v>99</v>
      </c>
      <c r="D148" s="1" t="s">
        <v>75</v>
      </c>
      <c r="E148" s="1">
        <v>122</v>
      </c>
      <c r="F148" s="1">
        <v>0</v>
      </c>
      <c r="G148" s="16">
        <f t="shared" si="2"/>
        <v>0</v>
      </c>
    </row>
    <row r="149" spans="1:7" ht="15" customHeight="1" x14ac:dyDescent="0.3">
      <c r="A149" s="6">
        <v>147</v>
      </c>
      <c r="B149" s="1" t="s">
        <v>132</v>
      </c>
      <c r="C149" s="6" t="s">
        <v>100</v>
      </c>
      <c r="D149" s="1" t="s">
        <v>9</v>
      </c>
      <c r="E149" s="1">
        <v>111</v>
      </c>
      <c r="F149" s="1">
        <v>0</v>
      </c>
      <c r="G149" s="16">
        <f t="shared" si="2"/>
        <v>0</v>
      </c>
    </row>
    <row r="150" spans="1:7" ht="15" customHeight="1" x14ac:dyDescent="0.3">
      <c r="A150" s="6">
        <v>148</v>
      </c>
      <c r="B150" s="1" t="s">
        <v>132</v>
      </c>
      <c r="C150" s="6" t="s">
        <v>101</v>
      </c>
      <c r="D150" s="1" t="s">
        <v>9</v>
      </c>
      <c r="E150" s="1">
        <v>139</v>
      </c>
      <c r="F150" s="1">
        <v>0</v>
      </c>
      <c r="G150" s="16">
        <f t="shared" si="2"/>
        <v>0</v>
      </c>
    </row>
    <row r="151" spans="1:7" ht="15" customHeight="1" x14ac:dyDescent="0.3">
      <c r="A151" s="6">
        <v>149</v>
      </c>
      <c r="B151" s="1" t="s">
        <v>132</v>
      </c>
      <c r="C151" s="6" t="s">
        <v>102</v>
      </c>
      <c r="D151" s="1" t="s">
        <v>9</v>
      </c>
      <c r="E151" s="1">
        <v>8.93</v>
      </c>
      <c r="F151" s="1">
        <v>0</v>
      </c>
      <c r="G151" s="16">
        <f t="shared" si="2"/>
        <v>0</v>
      </c>
    </row>
    <row r="152" spans="1:7" ht="15" customHeight="1" x14ac:dyDescent="0.3">
      <c r="A152" s="6">
        <v>150</v>
      </c>
      <c r="B152" s="1" t="s">
        <v>132</v>
      </c>
      <c r="C152" s="6" t="s">
        <v>734</v>
      </c>
      <c r="D152" s="1" t="s">
        <v>2</v>
      </c>
      <c r="E152" s="1">
        <v>4502.3999999999996</v>
      </c>
      <c r="F152" s="1">
        <v>0</v>
      </c>
      <c r="G152" s="16">
        <f t="shared" si="2"/>
        <v>0</v>
      </c>
    </row>
    <row r="153" spans="1:7" ht="15" customHeight="1" x14ac:dyDescent="0.3">
      <c r="A153" s="6">
        <v>151</v>
      </c>
      <c r="B153" s="1" t="s">
        <v>132</v>
      </c>
      <c r="C153" s="6" t="s">
        <v>630</v>
      </c>
      <c r="D153" s="1" t="s">
        <v>2</v>
      </c>
      <c r="E153" s="1">
        <v>1708.8</v>
      </c>
      <c r="F153" s="1">
        <v>0</v>
      </c>
      <c r="G153" s="16">
        <f t="shared" si="2"/>
        <v>0</v>
      </c>
    </row>
    <row r="154" spans="1:7" ht="15" customHeight="1" x14ac:dyDescent="0.3">
      <c r="A154" s="6">
        <v>152</v>
      </c>
      <c r="B154" s="1" t="s">
        <v>132</v>
      </c>
      <c r="C154" s="6" t="s">
        <v>631</v>
      </c>
      <c r="D154" s="1" t="s">
        <v>2</v>
      </c>
      <c r="E154" s="1">
        <v>1651.2</v>
      </c>
      <c r="F154" s="1">
        <v>0</v>
      </c>
      <c r="G154" s="16">
        <f t="shared" si="2"/>
        <v>0</v>
      </c>
    </row>
    <row r="155" spans="1:7" ht="15" customHeight="1" x14ac:dyDescent="0.3">
      <c r="A155" s="6">
        <v>153</v>
      </c>
      <c r="B155" s="1" t="s">
        <v>132</v>
      </c>
      <c r="C155" s="6" t="s">
        <v>670</v>
      </c>
      <c r="D155" s="1" t="s">
        <v>2</v>
      </c>
      <c r="E155" s="1">
        <v>7202.4</v>
      </c>
      <c r="F155" s="1">
        <v>0</v>
      </c>
      <c r="G155" s="16">
        <f t="shared" si="2"/>
        <v>0</v>
      </c>
    </row>
    <row r="156" spans="1:7" ht="15" customHeight="1" x14ac:dyDescent="0.3">
      <c r="A156" s="6">
        <v>154</v>
      </c>
      <c r="B156" s="1" t="s">
        <v>132</v>
      </c>
      <c r="C156" s="6" t="s">
        <v>629</v>
      </c>
      <c r="D156" s="1" t="s">
        <v>2</v>
      </c>
      <c r="E156" s="1">
        <v>1139</v>
      </c>
      <c r="F156" s="1">
        <v>0</v>
      </c>
      <c r="G156" s="16">
        <f t="shared" si="2"/>
        <v>0</v>
      </c>
    </row>
    <row r="157" spans="1:7" ht="15" customHeight="1" x14ac:dyDescent="0.3">
      <c r="A157" s="6">
        <v>155</v>
      </c>
      <c r="B157" s="1" t="s">
        <v>132</v>
      </c>
      <c r="C157" s="6" t="s">
        <v>687</v>
      </c>
      <c r="D157" s="1" t="s">
        <v>2</v>
      </c>
      <c r="E157" s="1">
        <v>3303</v>
      </c>
      <c r="F157" s="1">
        <v>0</v>
      </c>
      <c r="G157" s="16">
        <f t="shared" si="2"/>
        <v>0</v>
      </c>
    </row>
    <row r="158" spans="1:7" ht="15" customHeight="1" x14ac:dyDescent="0.3">
      <c r="A158" s="6">
        <v>156</v>
      </c>
      <c r="B158" s="1" t="s">
        <v>132</v>
      </c>
      <c r="C158" s="6" t="s">
        <v>141</v>
      </c>
      <c r="D158" s="1" t="s">
        <v>9</v>
      </c>
      <c r="E158" s="1">
        <v>1757</v>
      </c>
      <c r="F158" s="1">
        <v>0</v>
      </c>
      <c r="G158" s="16">
        <f t="shared" si="2"/>
        <v>0</v>
      </c>
    </row>
    <row r="159" spans="1:7" ht="15" customHeight="1" x14ac:dyDescent="0.3">
      <c r="A159" s="6">
        <v>157</v>
      </c>
      <c r="B159" s="1" t="s">
        <v>132</v>
      </c>
      <c r="C159" s="6" t="s">
        <v>142</v>
      </c>
      <c r="D159" s="1" t="s">
        <v>9</v>
      </c>
      <c r="E159" s="1">
        <v>1717</v>
      </c>
      <c r="F159" s="1">
        <v>0</v>
      </c>
      <c r="G159" s="16">
        <f t="shared" si="2"/>
        <v>0</v>
      </c>
    </row>
    <row r="160" spans="1:7" ht="15" customHeight="1" x14ac:dyDescent="0.3">
      <c r="A160" s="6">
        <v>158</v>
      </c>
      <c r="B160" s="1" t="s">
        <v>132</v>
      </c>
      <c r="C160" s="6" t="s">
        <v>103</v>
      </c>
      <c r="D160" s="1" t="s">
        <v>9</v>
      </c>
      <c r="E160" s="1">
        <v>150</v>
      </c>
      <c r="F160" s="1">
        <v>0</v>
      </c>
      <c r="G160" s="16">
        <f t="shared" si="2"/>
        <v>0</v>
      </c>
    </row>
    <row r="161" spans="1:7" ht="15" customHeight="1" x14ac:dyDescent="0.3">
      <c r="A161" s="6">
        <v>159</v>
      </c>
      <c r="B161" s="1" t="s">
        <v>132</v>
      </c>
      <c r="C161" s="6" t="s">
        <v>104</v>
      </c>
      <c r="D161" s="1" t="s">
        <v>9</v>
      </c>
      <c r="E161" s="1">
        <v>193</v>
      </c>
      <c r="F161" s="1">
        <v>0</v>
      </c>
      <c r="G161" s="16">
        <f t="shared" si="2"/>
        <v>0</v>
      </c>
    </row>
    <row r="162" spans="1:7" ht="15" customHeight="1" x14ac:dyDescent="0.3">
      <c r="A162" s="6">
        <v>160</v>
      </c>
      <c r="B162" s="1" t="s">
        <v>132</v>
      </c>
      <c r="C162" s="6" t="s">
        <v>105</v>
      </c>
      <c r="D162" s="1" t="s">
        <v>9</v>
      </c>
      <c r="E162" s="1">
        <v>245</v>
      </c>
      <c r="F162" s="1">
        <v>0</v>
      </c>
      <c r="G162" s="16">
        <f t="shared" si="2"/>
        <v>0</v>
      </c>
    </row>
    <row r="163" spans="1:7" ht="15" customHeight="1" x14ac:dyDescent="0.3">
      <c r="A163" s="6">
        <v>161</v>
      </c>
      <c r="B163" s="1" t="s">
        <v>132</v>
      </c>
      <c r="C163" s="6" t="s">
        <v>106</v>
      </c>
      <c r="D163" s="1" t="s">
        <v>9</v>
      </c>
      <c r="E163" s="1">
        <v>306</v>
      </c>
      <c r="F163" s="1">
        <v>0</v>
      </c>
      <c r="G163" s="16">
        <f t="shared" si="2"/>
        <v>0</v>
      </c>
    </row>
    <row r="164" spans="1:7" ht="15" customHeight="1" x14ac:dyDescent="0.3">
      <c r="A164" s="6">
        <v>162</v>
      </c>
      <c r="B164" s="1" t="s">
        <v>132</v>
      </c>
      <c r="C164" s="6" t="s">
        <v>107</v>
      </c>
      <c r="D164" s="1" t="s">
        <v>9</v>
      </c>
      <c r="E164" s="1">
        <v>230</v>
      </c>
      <c r="F164" s="1">
        <v>0</v>
      </c>
      <c r="G164" s="16">
        <f t="shared" si="2"/>
        <v>0</v>
      </c>
    </row>
    <row r="165" spans="1:7" ht="15" customHeight="1" x14ac:dyDescent="0.3">
      <c r="A165" s="6">
        <v>163</v>
      </c>
      <c r="B165" s="1" t="s">
        <v>132</v>
      </c>
      <c r="C165" s="6" t="s">
        <v>143</v>
      </c>
      <c r="D165" s="1" t="s">
        <v>9</v>
      </c>
      <c r="E165" s="1">
        <v>1717</v>
      </c>
      <c r="F165" s="1">
        <v>0</v>
      </c>
      <c r="G165" s="16">
        <f t="shared" si="2"/>
        <v>0</v>
      </c>
    </row>
    <row r="166" spans="1:7" ht="15" customHeight="1" x14ac:dyDescent="0.3">
      <c r="A166" s="6">
        <v>164</v>
      </c>
      <c r="B166" s="1" t="s">
        <v>132</v>
      </c>
      <c r="C166" s="6" t="s">
        <v>144</v>
      </c>
      <c r="D166" s="1" t="s">
        <v>9</v>
      </c>
      <c r="E166" s="1">
        <v>2328</v>
      </c>
      <c r="F166" s="1">
        <v>0</v>
      </c>
      <c r="G166" s="16">
        <f t="shared" si="2"/>
        <v>0</v>
      </c>
    </row>
    <row r="167" spans="1:7" ht="15" customHeight="1" x14ac:dyDescent="0.3">
      <c r="A167" s="6">
        <v>165</v>
      </c>
      <c r="B167" s="1" t="s">
        <v>132</v>
      </c>
      <c r="C167" s="6" t="s">
        <v>108</v>
      </c>
      <c r="D167" s="1" t="s">
        <v>9</v>
      </c>
      <c r="E167" s="1">
        <v>1000</v>
      </c>
      <c r="F167" s="1">
        <v>0</v>
      </c>
      <c r="G167" s="16">
        <f t="shared" si="2"/>
        <v>0</v>
      </c>
    </row>
    <row r="168" spans="1:7" ht="15" customHeight="1" x14ac:dyDescent="0.3">
      <c r="A168" s="6">
        <v>166</v>
      </c>
      <c r="B168" s="1" t="s">
        <v>132</v>
      </c>
      <c r="C168" s="6" t="s">
        <v>109</v>
      </c>
      <c r="D168" s="1" t="s">
        <v>9</v>
      </c>
      <c r="E168" s="1">
        <v>594</v>
      </c>
      <c r="F168" s="1">
        <v>0</v>
      </c>
      <c r="G168" s="16">
        <f t="shared" si="2"/>
        <v>0</v>
      </c>
    </row>
    <row r="169" spans="1:7" ht="15" customHeight="1" x14ac:dyDescent="0.3">
      <c r="A169" s="6">
        <v>167</v>
      </c>
      <c r="B169" s="1" t="s">
        <v>132</v>
      </c>
      <c r="C169" s="6" t="s">
        <v>110</v>
      </c>
      <c r="D169" s="1" t="s">
        <v>9</v>
      </c>
      <c r="E169" s="1">
        <v>383</v>
      </c>
      <c r="F169" s="1">
        <v>0</v>
      </c>
      <c r="G169" s="16">
        <f t="shared" si="2"/>
        <v>0</v>
      </c>
    </row>
    <row r="170" spans="1:7" ht="15" customHeight="1" x14ac:dyDescent="0.3">
      <c r="A170" s="6">
        <v>168</v>
      </c>
      <c r="B170" s="1" t="s">
        <v>132</v>
      </c>
      <c r="C170" s="6" t="s">
        <v>111</v>
      </c>
      <c r="D170" s="1" t="s">
        <v>9</v>
      </c>
      <c r="E170" s="1">
        <v>487</v>
      </c>
      <c r="F170" s="1">
        <v>0</v>
      </c>
      <c r="G170" s="16">
        <f t="shared" si="2"/>
        <v>0</v>
      </c>
    </row>
    <row r="171" spans="1:7" ht="15" customHeight="1" x14ac:dyDescent="0.3">
      <c r="A171" s="6">
        <v>169</v>
      </c>
      <c r="B171" s="1" t="s">
        <v>132</v>
      </c>
      <c r="C171" s="6" t="s">
        <v>112</v>
      </c>
      <c r="D171" s="1" t="s">
        <v>9</v>
      </c>
      <c r="E171" s="1">
        <v>342</v>
      </c>
      <c r="F171" s="1">
        <v>0</v>
      </c>
      <c r="G171" s="16">
        <f t="shared" si="2"/>
        <v>0</v>
      </c>
    </row>
    <row r="172" spans="1:7" ht="15" customHeight="1" x14ac:dyDescent="0.3">
      <c r="A172" s="6">
        <v>170</v>
      </c>
      <c r="B172" s="1" t="s">
        <v>132</v>
      </c>
      <c r="C172" s="6" t="s">
        <v>113</v>
      </c>
      <c r="D172" s="1" t="s">
        <v>9</v>
      </c>
      <c r="E172" s="1">
        <v>458</v>
      </c>
      <c r="F172" s="1">
        <v>0</v>
      </c>
      <c r="G172" s="16">
        <f t="shared" si="2"/>
        <v>0</v>
      </c>
    </row>
    <row r="173" spans="1:7" ht="15" customHeight="1" x14ac:dyDescent="0.3">
      <c r="A173" s="6">
        <v>171</v>
      </c>
      <c r="B173" s="1" t="s">
        <v>132</v>
      </c>
      <c r="C173" s="6" t="s">
        <v>114</v>
      </c>
      <c r="D173" s="1" t="s">
        <v>9</v>
      </c>
      <c r="E173" s="1">
        <v>2935</v>
      </c>
      <c r="F173" s="1">
        <v>0</v>
      </c>
      <c r="G173" s="16">
        <f t="shared" si="2"/>
        <v>0</v>
      </c>
    </row>
    <row r="174" spans="1:7" ht="15" customHeight="1" x14ac:dyDescent="0.3">
      <c r="A174" s="6">
        <v>172</v>
      </c>
      <c r="B174" s="1" t="s">
        <v>132</v>
      </c>
      <c r="C174" s="6" t="s">
        <v>115</v>
      </c>
      <c r="D174" s="1" t="s">
        <v>9</v>
      </c>
      <c r="E174" s="1">
        <v>5074</v>
      </c>
      <c r="F174" s="1">
        <v>0</v>
      </c>
      <c r="G174" s="16">
        <f t="shared" si="2"/>
        <v>0</v>
      </c>
    </row>
    <row r="175" spans="1:7" ht="15" customHeight="1" x14ac:dyDescent="0.3">
      <c r="A175" s="6">
        <v>173</v>
      </c>
      <c r="B175" s="1" t="s">
        <v>132</v>
      </c>
      <c r="C175" s="6" t="s">
        <v>116</v>
      </c>
      <c r="D175" s="1" t="s">
        <v>9</v>
      </c>
      <c r="E175" s="1">
        <v>4491</v>
      </c>
      <c r="F175" s="1">
        <v>0</v>
      </c>
      <c r="G175" s="16">
        <f t="shared" si="2"/>
        <v>0</v>
      </c>
    </row>
    <row r="176" spans="1:7" ht="15" customHeight="1" x14ac:dyDescent="0.3">
      <c r="A176" s="6">
        <v>174</v>
      </c>
      <c r="B176" s="1" t="s">
        <v>132</v>
      </c>
      <c r="C176" s="6" t="s">
        <v>117</v>
      </c>
      <c r="D176" s="1" t="s">
        <v>9</v>
      </c>
      <c r="E176" s="1">
        <v>9535</v>
      </c>
      <c r="F176" s="1">
        <v>0</v>
      </c>
      <c r="G176" s="16">
        <f t="shared" si="2"/>
        <v>0</v>
      </c>
    </row>
    <row r="177" spans="1:7" ht="15" customHeight="1" x14ac:dyDescent="0.3">
      <c r="A177" s="6">
        <v>175</v>
      </c>
      <c r="B177" s="1" t="s">
        <v>132</v>
      </c>
      <c r="C177" s="6" t="s">
        <v>118</v>
      </c>
      <c r="D177" s="1" t="s">
        <v>9</v>
      </c>
      <c r="E177" s="1">
        <v>1876</v>
      </c>
      <c r="F177" s="1">
        <v>0</v>
      </c>
      <c r="G177" s="16">
        <f t="shared" si="2"/>
        <v>0</v>
      </c>
    </row>
    <row r="178" spans="1:7" ht="15" customHeight="1" x14ac:dyDescent="0.3">
      <c r="A178" s="6">
        <v>176</v>
      </c>
      <c r="B178" s="1" t="s">
        <v>132</v>
      </c>
      <c r="C178" s="6" t="s">
        <v>119</v>
      </c>
      <c r="D178" s="1" t="s">
        <v>9</v>
      </c>
      <c r="E178" s="1">
        <v>2851</v>
      </c>
      <c r="F178" s="1">
        <v>0</v>
      </c>
      <c r="G178" s="16">
        <f t="shared" si="2"/>
        <v>0</v>
      </c>
    </row>
    <row r="179" spans="1:7" ht="15" customHeight="1" x14ac:dyDescent="0.3">
      <c r="A179" s="6">
        <v>177</v>
      </c>
      <c r="B179" s="1" t="s">
        <v>132</v>
      </c>
      <c r="C179" s="6" t="s">
        <v>120</v>
      </c>
      <c r="D179" s="1" t="s">
        <v>9</v>
      </c>
      <c r="E179" s="1">
        <v>4794</v>
      </c>
      <c r="F179" s="1">
        <v>0</v>
      </c>
      <c r="G179" s="16">
        <f t="shared" si="2"/>
        <v>0</v>
      </c>
    </row>
    <row r="180" spans="1:7" ht="15" customHeight="1" x14ac:dyDescent="0.3">
      <c r="A180" s="6">
        <v>178</v>
      </c>
      <c r="B180" s="1" t="s">
        <v>132</v>
      </c>
      <c r="C180" s="6" t="s">
        <v>121</v>
      </c>
      <c r="D180" s="1" t="s">
        <v>9</v>
      </c>
      <c r="E180" s="1">
        <v>8969</v>
      </c>
      <c r="F180" s="1">
        <v>0</v>
      </c>
      <c r="G180" s="16">
        <f t="shared" si="2"/>
        <v>0</v>
      </c>
    </row>
    <row r="181" spans="1:7" ht="15" customHeight="1" x14ac:dyDescent="0.3">
      <c r="A181" s="6">
        <v>179</v>
      </c>
      <c r="B181" s="1" t="s">
        <v>132</v>
      </c>
      <c r="C181" s="6" t="s">
        <v>122</v>
      </c>
      <c r="D181" s="1" t="s">
        <v>9</v>
      </c>
      <c r="E181" s="1">
        <v>10549</v>
      </c>
      <c r="F181" s="1">
        <v>0</v>
      </c>
      <c r="G181" s="16">
        <f t="shared" si="2"/>
        <v>0</v>
      </c>
    </row>
    <row r="182" spans="1:7" ht="15" customHeight="1" x14ac:dyDescent="0.3">
      <c r="A182" s="6">
        <v>180</v>
      </c>
      <c r="B182" s="1" t="s">
        <v>132</v>
      </c>
      <c r="C182" s="6" t="s">
        <v>123</v>
      </c>
      <c r="D182" s="1" t="s">
        <v>9</v>
      </c>
      <c r="E182" s="1">
        <v>11455</v>
      </c>
      <c r="F182" s="1">
        <v>0</v>
      </c>
      <c r="G182" s="16">
        <f t="shared" si="2"/>
        <v>0</v>
      </c>
    </row>
    <row r="183" spans="1:7" ht="15" customHeight="1" x14ac:dyDescent="0.3">
      <c r="A183" s="6">
        <v>181</v>
      </c>
      <c r="B183" s="1" t="s">
        <v>132</v>
      </c>
      <c r="C183" s="6" t="s">
        <v>124</v>
      </c>
      <c r="D183" s="1" t="s">
        <v>9</v>
      </c>
      <c r="E183" s="1">
        <v>9137</v>
      </c>
      <c r="F183" s="1">
        <v>0</v>
      </c>
      <c r="G183" s="16">
        <f t="shared" si="2"/>
        <v>0</v>
      </c>
    </row>
    <row r="184" spans="1:7" x14ac:dyDescent="0.3">
      <c r="A184" s="6">
        <v>182</v>
      </c>
      <c r="B184" s="1" t="s">
        <v>132</v>
      </c>
      <c r="C184" s="6" t="s">
        <v>145</v>
      </c>
      <c r="D184" s="1" t="s">
        <v>9</v>
      </c>
      <c r="E184" s="1">
        <v>308</v>
      </c>
      <c r="F184" s="1">
        <v>0</v>
      </c>
      <c r="G184" s="16">
        <f t="shared" si="2"/>
        <v>0</v>
      </c>
    </row>
    <row r="185" spans="1:7" x14ac:dyDescent="0.3">
      <c r="A185" s="6">
        <v>183</v>
      </c>
      <c r="B185" s="1" t="s">
        <v>132</v>
      </c>
      <c r="C185" s="6" t="s">
        <v>146</v>
      </c>
      <c r="D185" s="1" t="s">
        <v>9</v>
      </c>
      <c r="E185" s="1">
        <v>504</v>
      </c>
      <c r="F185" s="1">
        <v>0</v>
      </c>
      <c r="G185" s="16">
        <f t="shared" si="2"/>
        <v>0</v>
      </c>
    </row>
    <row r="186" spans="1:7" x14ac:dyDescent="0.3">
      <c r="A186" s="6">
        <v>184</v>
      </c>
      <c r="B186" s="1" t="s">
        <v>132</v>
      </c>
      <c r="C186" s="6" t="s">
        <v>147</v>
      </c>
      <c r="D186" s="1" t="s">
        <v>9</v>
      </c>
      <c r="E186" s="1">
        <v>570</v>
      </c>
      <c r="F186" s="1">
        <v>0</v>
      </c>
      <c r="G186" s="16">
        <f t="shared" si="2"/>
        <v>0</v>
      </c>
    </row>
    <row r="187" spans="1:7" x14ac:dyDescent="0.3">
      <c r="A187" s="6">
        <v>185</v>
      </c>
      <c r="B187" s="1" t="s">
        <v>132</v>
      </c>
      <c r="C187" s="6" t="s">
        <v>148</v>
      </c>
      <c r="D187" s="1" t="s">
        <v>9</v>
      </c>
      <c r="E187" s="1">
        <v>630</v>
      </c>
      <c r="F187" s="1">
        <v>0</v>
      </c>
      <c r="G187" s="16">
        <f t="shared" si="2"/>
        <v>0</v>
      </c>
    </row>
    <row r="188" spans="1:7" x14ac:dyDescent="0.3">
      <c r="A188" s="6">
        <v>186</v>
      </c>
      <c r="B188" s="1" t="s">
        <v>132</v>
      </c>
      <c r="C188" s="6" t="s">
        <v>149</v>
      </c>
      <c r="D188" s="1" t="s">
        <v>9</v>
      </c>
      <c r="E188" s="1">
        <v>1037</v>
      </c>
      <c r="F188" s="1">
        <v>0</v>
      </c>
      <c r="G188" s="16">
        <f t="shared" si="2"/>
        <v>0</v>
      </c>
    </row>
    <row r="189" spans="1:7" x14ac:dyDescent="0.3">
      <c r="A189" s="6">
        <v>187</v>
      </c>
      <c r="B189" s="1" t="s">
        <v>132</v>
      </c>
      <c r="C189" s="6" t="s">
        <v>150</v>
      </c>
      <c r="D189" s="1" t="s">
        <v>9</v>
      </c>
      <c r="E189" s="1">
        <v>676</v>
      </c>
      <c r="F189" s="1">
        <v>0</v>
      </c>
      <c r="G189" s="16">
        <f t="shared" si="2"/>
        <v>0</v>
      </c>
    </row>
    <row r="190" spans="1:7" x14ac:dyDescent="0.3">
      <c r="A190" s="6">
        <v>188</v>
      </c>
      <c r="B190" s="1" t="s">
        <v>132</v>
      </c>
      <c r="C190" s="6" t="s">
        <v>151</v>
      </c>
      <c r="D190" s="1" t="s">
        <v>9</v>
      </c>
      <c r="E190" s="1">
        <v>884</v>
      </c>
      <c r="F190" s="1">
        <v>0</v>
      </c>
      <c r="G190" s="16">
        <f t="shared" si="2"/>
        <v>0</v>
      </c>
    </row>
    <row r="191" spans="1:7" x14ac:dyDescent="0.3">
      <c r="A191" s="6">
        <v>189</v>
      </c>
      <c r="B191" s="1" t="s">
        <v>132</v>
      </c>
      <c r="C191" s="6" t="s">
        <v>152</v>
      </c>
      <c r="D191" s="1" t="s">
        <v>9</v>
      </c>
      <c r="E191" s="1">
        <v>295</v>
      </c>
      <c r="F191" s="1">
        <v>0</v>
      </c>
      <c r="G191" s="16">
        <f t="shared" si="2"/>
        <v>0</v>
      </c>
    </row>
    <row r="192" spans="1:7" x14ac:dyDescent="0.3">
      <c r="A192" s="6">
        <v>190</v>
      </c>
      <c r="B192" s="1" t="s">
        <v>132</v>
      </c>
      <c r="C192" s="6" t="s">
        <v>153</v>
      </c>
      <c r="D192" s="1" t="s">
        <v>9</v>
      </c>
      <c r="E192" s="1">
        <v>454</v>
      </c>
      <c r="F192" s="1">
        <v>0</v>
      </c>
      <c r="G192" s="16">
        <f t="shared" si="2"/>
        <v>0</v>
      </c>
    </row>
    <row r="193" spans="1:7" x14ac:dyDescent="0.3">
      <c r="A193" s="6">
        <v>191</v>
      </c>
      <c r="B193" s="1" t="s">
        <v>132</v>
      </c>
      <c r="C193" s="6" t="s">
        <v>154</v>
      </c>
      <c r="D193" s="1" t="s">
        <v>9</v>
      </c>
      <c r="E193" s="1">
        <v>153</v>
      </c>
      <c r="F193" s="1">
        <v>0</v>
      </c>
      <c r="G193" s="16">
        <f t="shared" si="2"/>
        <v>0</v>
      </c>
    </row>
    <row r="194" spans="1:7" x14ac:dyDescent="0.3">
      <c r="A194" s="6">
        <v>192</v>
      </c>
      <c r="B194" s="1" t="s">
        <v>132</v>
      </c>
      <c r="C194" s="6" t="s">
        <v>155</v>
      </c>
      <c r="D194" s="1" t="s">
        <v>9</v>
      </c>
      <c r="E194" s="1">
        <v>122</v>
      </c>
      <c r="F194" s="1">
        <v>0</v>
      </c>
      <c r="G194" s="16">
        <f t="shared" si="2"/>
        <v>0</v>
      </c>
    </row>
    <row r="195" spans="1:7" x14ac:dyDescent="0.3">
      <c r="A195" s="6">
        <v>193</v>
      </c>
      <c r="B195" s="1" t="s">
        <v>132</v>
      </c>
      <c r="C195" s="6" t="s">
        <v>156</v>
      </c>
      <c r="D195" s="1" t="s">
        <v>9</v>
      </c>
      <c r="E195" s="1">
        <v>204</v>
      </c>
      <c r="F195" s="1">
        <v>0</v>
      </c>
      <c r="G195" s="16">
        <f t="shared" si="2"/>
        <v>0</v>
      </c>
    </row>
    <row r="196" spans="1:7" x14ac:dyDescent="0.3">
      <c r="A196" s="6">
        <v>194</v>
      </c>
      <c r="B196" s="1" t="s">
        <v>132</v>
      </c>
      <c r="C196" s="6" t="s">
        <v>157</v>
      </c>
      <c r="D196" s="1" t="s">
        <v>9</v>
      </c>
      <c r="E196" s="1">
        <v>153</v>
      </c>
      <c r="F196" s="1">
        <v>0</v>
      </c>
      <c r="G196" s="16">
        <f t="shared" si="2"/>
        <v>0</v>
      </c>
    </row>
    <row r="197" spans="1:7" x14ac:dyDescent="0.3">
      <c r="A197" s="6">
        <v>195</v>
      </c>
      <c r="B197" s="1" t="s">
        <v>132</v>
      </c>
      <c r="C197" s="6" t="s">
        <v>158</v>
      </c>
      <c r="D197" s="1" t="s">
        <v>9</v>
      </c>
      <c r="E197" s="1">
        <v>65</v>
      </c>
      <c r="F197" s="1">
        <v>0</v>
      </c>
      <c r="G197" s="16">
        <f t="shared" si="2"/>
        <v>0</v>
      </c>
    </row>
    <row r="198" spans="1:7" x14ac:dyDescent="0.3">
      <c r="A198" s="6">
        <v>196</v>
      </c>
      <c r="B198" s="1" t="s">
        <v>132</v>
      </c>
      <c r="C198" s="6" t="s">
        <v>159</v>
      </c>
      <c r="D198" s="1" t="s">
        <v>9</v>
      </c>
      <c r="E198" s="1">
        <v>88</v>
      </c>
      <c r="F198" s="1">
        <v>0</v>
      </c>
      <c r="G198" s="16">
        <f t="shared" si="2"/>
        <v>0</v>
      </c>
    </row>
    <row r="199" spans="1:7" x14ac:dyDescent="0.3">
      <c r="A199" s="6">
        <v>197</v>
      </c>
      <c r="B199" s="1" t="s">
        <v>132</v>
      </c>
      <c r="C199" s="6" t="s">
        <v>160</v>
      </c>
      <c r="D199" s="1" t="s">
        <v>79</v>
      </c>
      <c r="E199" s="1">
        <v>130</v>
      </c>
      <c r="F199" s="1">
        <v>0</v>
      </c>
      <c r="G199" s="16">
        <f t="shared" si="2"/>
        <v>0</v>
      </c>
    </row>
    <row r="200" spans="1:7" x14ac:dyDescent="0.3">
      <c r="A200" s="6">
        <v>198</v>
      </c>
      <c r="B200" s="1" t="s">
        <v>132</v>
      </c>
      <c r="C200" s="6" t="s">
        <v>161</v>
      </c>
      <c r="D200" s="1" t="s">
        <v>9</v>
      </c>
      <c r="E200" s="1">
        <v>402</v>
      </c>
      <c r="F200" s="1">
        <v>0</v>
      </c>
      <c r="G200" s="16">
        <f t="shared" si="2"/>
        <v>0</v>
      </c>
    </row>
    <row r="201" spans="1:7" x14ac:dyDescent="0.3">
      <c r="A201" s="6">
        <v>199</v>
      </c>
      <c r="B201" s="11" t="s">
        <v>602</v>
      </c>
      <c r="C201" s="6" t="s">
        <v>684</v>
      </c>
      <c r="D201" s="9" t="s">
        <v>2</v>
      </c>
      <c r="E201" s="10">
        <v>2700</v>
      </c>
      <c r="F201" s="1">
        <v>0</v>
      </c>
      <c r="G201" s="16">
        <f t="shared" si="2"/>
        <v>0</v>
      </c>
    </row>
    <row r="202" spans="1:7" ht="15" customHeight="1" x14ac:dyDescent="0.3">
      <c r="A202" s="6">
        <v>200</v>
      </c>
      <c r="B202" s="11" t="s">
        <v>602</v>
      </c>
      <c r="C202" s="6" t="s">
        <v>685</v>
      </c>
      <c r="D202" s="9" t="s">
        <v>686</v>
      </c>
      <c r="E202" s="10">
        <v>34</v>
      </c>
      <c r="F202" s="1">
        <v>0</v>
      </c>
      <c r="G202" s="16">
        <f t="shared" si="2"/>
        <v>0</v>
      </c>
    </row>
    <row r="203" spans="1:7" x14ac:dyDescent="0.3">
      <c r="A203" s="6">
        <v>201</v>
      </c>
      <c r="B203" s="11" t="s">
        <v>602</v>
      </c>
      <c r="C203" s="6" t="s">
        <v>691</v>
      </c>
      <c r="D203" s="9" t="s">
        <v>627</v>
      </c>
      <c r="E203" s="10">
        <v>20</v>
      </c>
      <c r="F203" s="1">
        <v>0</v>
      </c>
      <c r="G203" s="16">
        <f t="shared" ref="G203:G266" si="3">E203*F203</f>
        <v>0</v>
      </c>
    </row>
    <row r="204" spans="1:7" ht="38.25" customHeight="1" x14ac:dyDescent="0.3">
      <c r="A204" s="6">
        <v>202</v>
      </c>
      <c r="B204" s="11" t="s">
        <v>602</v>
      </c>
      <c r="C204" s="6" t="s">
        <v>190</v>
      </c>
      <c r="D204" s="9" t="s">
        <v>2</v>
      </c>
      <c r="E204" s="10">
        <v>93060</v>
      </c>
      <c r="F204" s="1">
        <v>0</v>
      </c>
      <c r="G204" s="16">
        <f t="shared" si="3"/>
        <v>0</v>
      </c>
    </row>
    <row r="205" spans="1:7" x14ac:dyDescent="0.3">
      <c r="A205" s="6">
        <v>203</v>
      </c>
      <c r="B205" s="11" t="s">
        <v>602</v>
      </c>
      <c r="C205" s="6" t="s">
        <v>191</v>
      </c>
      <c r="D205" s="9" t="s">
        <v>2</v>
      </c>
      <c r="E205" s="10">
        <v>16500</v>
      </c>
      <c r="F205" s="1">
        <v>0</v>
      </c>
      <c r="G205" s="16">
        <f t="shared" si="3"/>
        <v>0</v>
      </c>
    </row>
    <row r="206" spans="1:7" ht="31.5" customHeight="1" x14ac:dyDescent="0.3">
      <c r="A206" s="6">
        <v>204</v>
      </c>
      <c r="B206" s="11" t="s">
        <v>602</v>
      </c>
      <c r="C206" s="6" t="s">
        <v>192</v>
      </c>
      <c r="D206" s="9" t="s">
        <v>2</v>
      </c>
      <c r="E206" s="10">
        <v>82500</v>
      </c>
      <c r="F206" s="1">
        <v>0</v>
      </c>
      <c r="G206" s="16">
        <f t="shared" si="3"/>
        <v>0</v>
      </c>
    </row>
    <row r="207" spans="1:7" x14ac:dyDescent="0.3">
      <c r="A207" s="6">
        <v>205</v>
      </c>
      <c r="B207" s="11" t="s">
        <v>602</v>
      </c>
      <c r="C207" s="6" t="s">
        <v>193</v>
      </c>
      <c r="D207" s="9" t="s">
        <v>2</v>
      </c>
      <c r="E207" s="10">
        <v>557400</v>
      </c>
      <c r="F207" s="1">
        <v>0</v>
      </c>
      <c r="G207" s="16">
        <f t="shared" si="3"/>
        <v>0</v>
      </c>
    </row>
    <row r="208" spans="1:7" x14ac:dyDescent="0.3">
      <c r="A208" s="6">
        <v>206</v>
      </c>
      <c r="B208" s="11" t="s">
        <v>602</v>
      </c>
      <c r="C208" s="6" t="s">
        <v>194</v>
      </c>
      <c r="D208" s="9" t="s">
        <v>2</v>
      </c>
      <c r="E208" s="10">
        <v>600000</v>
      </c>
      <c r="F208" s="1">
        <v>0</v>
      </c>
      <c r="G208" s="16">
        <f t="shared" si="3"/>
        <v>0</v>
      </c>
    </row>
    <row r="209" spans="1:7" x14ac:dyDescent="0.3">
      <c r="A209" s="6">
        <v>207</v>
      </c>
      <c r="B209" s="11" t="s">
        <v>602</v>
      </c>
      <c r="C209" s="6" t="s">
        <v>195</v>
      </c>
      <c r="D209" s="9" t="s">
        <v>6</v>
      </c>
      <c r="E209" s="10">
        <v>7.38</v>
      </c>
      <c r="F209" s="1">
        <v>0</v>
      </c>
      <c r="G209" s="16">
        <f t="shared" si="3"/>
        <v>0</v>
      </c>
    </row>
    <row r="210" spans="1:7" x14ac:dyDescent="0.3">
      <c r="A210" s="6">
        <v>208</v>
      </c>
      <c r="B210" s="11" t="s">
        <v>602</v>
      </c>
      <c r="C210" s="6" t="s">
        <v>196</v>
      </c>
      <c r="D210" s="9" t="s">
        <v>6</v>
      </c>
      <c r="E210" s="10">
        <v>1.1200000000000001</v>
      </c>
      <c r="F210" s="1">
        <v>0</v>
      </c>
      <c r="G210" s="16">
        <f t="shared" si="3"/>
        <v>0</v>
      </c>
    </row>
    <row r="211" spans="1:7" x14ac:dyDescent="0.3">
      <c r="A211" s="6">
        <v>209</v>
      </c>
      <c r="B211" s="11" t="s">
        <v>602</v>
      </c>
      <c r="C211" s="6" t="s">
        <v>197</v>
      </c>
      <c r="D211" s="9" t="s">
        <v>2</v>
      </c>
      <c r="E211" s="10">
        <v>35000</v>
      </c>
      <c r="F211" s="1">
        <v>0</v>
      </c>
      <c r="G211" s="16">
        <f t="shared" si="3"/>
        <v>0</v>
      </c>
    </row>
    <row r="212" spans="1:7" x14ac:dyDescent="0.3">
      <c r="A212" s="6">
        <v>210</v>
      </c>
      <c r="B212" s="11" t="s">
        <v>602</v>
      </c>
      <c r="C212" s="6" t="s">
        <v>198</v>
      </c>
      <c r="D212" s="9" t="s">
        <v>2</v>
      </c>
      <c r="E212" s="10">
        <v>42000</v>
      </c>
      <c r="F212" s="1">
        <v>0</v>
      </c>
      <c r="G212" s="16">
        <f t="shared" si="3"/>
        <v>0</v>
      </c>
    </row>
    <row r="213" spans="1:7" x14ac:dyDescent="0.3">
      <c r="A213" s="6">
        <v>211</v>
      </c>
      <c r="B213" s="11" t="s">
        <v>602</v>
      </c>
      <c r="C213" s="6" t="s">
        <v>199</v>
      </c>
      <c r="D213" s="9" t="s">
        <v>2</v>
      </c>
      <c r="E213" s="10">
        <v>52000</v>
      </c>
      <c r="F213" s="1">
        <v>0</v>
      </c>
      <c r="G213" s="16">
        <f t="shared" si="3"/>
        <v>0</v>
      </c>
    </row>
    <row r="214" spans="1:7" x14ac:dyDescent="0.3">
      <c r="A214" s="6">
        <v>212</v>
      </c>
      <c r="B214" s="11" t="s">
        <v>602</v>
      </c>
      <c r="C214" s="6" t="s">
        <v>200</v>
      </c>
      <c r="D214" s="9" t="s">
        <v>2</v>
      </c>
      <c r="E214" s="10">
        <v>62000</v>
      </c>
      <c r="F214" s="1">
        <v>0</v>
      </c>
      <c r="G214" s="16">
        <f t="shared" si="3"/>
        <v>0</v>
      </c>
    </row>
    <row r="215" spans="1:7" x14ac:dyDescent="0.3">
      <c r="A215" s="6">
        <v>213</v>
      </c>
      <c r="B215" s="11" t="s">
        <v>602</v>
      </c>
      <c r="C215" s="6" t="s">
        <v>201</v>
      </c>
      <c r="D215" s="9" t="s">
        <v>2</v>
      </c>
      <c r="E215" s="10">
        <v>15000</v>
      </c>
      <c r="F215" s="1">
        <v>0</v>
      </c>
      <c r="G215" s="16">
        <f t="shared" si="3"/>
        <v>0</v>
      </c>
    </row>
    <row r="216" spans="1:7" x14ac:dyDescent="0.3">
      <c r="A216" s="6">
        <v>214</v>
      </c>
      <c r="B216" s="11" t="s">
        <v>602</v>
      </c>
      <c r="C216" s="6" t="s">
        <v>202</v>
      </c>
      <c r="D216" s="9" t="s">
        <v>2</v>
      </c>
      <c r="E216" s="10">
        <v>24000</v>
      </c>
      <c r="F216" s="1">
        <v>0</v>
      </c>
      <c r="G216" s="16">
        <f t="shared" si="3"/>
        <v>0</v>
      </c>
    </row>
    <row r="217" spans="1:7" x14ac:dyDescent="0.3">
      <c r="A217" s="6">
        <v>215</v>
      </c>
      <c r="B217" s="11" t="s">
        <v>602</v>
      </c>
      <c r="C217" s="6" t="s">
        <v>203</v>
      </c>
      <c r="D217" s="9" t="s">
        <v>2</v>
      </c>
      <c r="E217" s="10">
        <v>31000</v>
      </c>
      <c r="F217" s="1">
        <v>0</v>
      </c>
      <c r="G217" s="16">
        <f t="shared" si="3"/>
        <v>0</v>
      </c>
    </row>
    <row r="218" spans="1:7" x14ac:dyDescent="0.3">
      <c r="A218" s="6">
        <v>216</v>
      </c>
      <c r="B218" s="11" t="s">
        <v>602</v>
      </c>
      <c r="C218" s="6" t="s">
        <v>204</v>
      </c>
      <c r="D218" s="9" t="s">
        <v>2</v>
      </c>
      <c r="E218" s="10">
        <v>39000</v>
      </c>
      <c r="F218" s="1">
        <v>0</v>
      </c>
      <c r="G218" s="16">
        <f t="shared" si="3"/>
        <v>0</v>
      </c>
    </row>
    <row r="219" spans="1:7" x14ac:dyDescent="0.3">
      <c r="A219" s="6">
        <v>217</v>
      </c>
      <c r="B219" s="11" t="s">
        <v>602</v>
      </c>
      <c r="C219" s="6" t="s">
        <v>628</v>
      </c>
      <c r="D219" s="9" t="s">
        <v>2</v>
      </c>
      <c r="E219" s="10">
        <v>50000</v>
      </c>
      <c r="F219" s="1">
        <v>0</v>
      </c>
      <c r="G219" s="16">
        <f t="shared" si="3"/>
        <v>0</v>
      </c>
    </row>
    <row r="220" spans="1:7" x14ac:dyDescent="0.3">
      <c r="A220" s="6">
        <v>218</v>
      </c>
      <c r="B220" s="11" t="s">
        <v>602</v>
      </c>
      <c r="C220" s="6" t="s">
        <v>205</v>
      </c>
      <c r="D220" s="9" t="s">
        <v>6</v>
      </c>
      <c r="E220" s="10">
        <v>1604</v>
      </c>
      <c r="F220" s="1">
        <v>0</v>
      </c>
      <c r="G220" s="16">
        <f t="shared" si="3"/>
        <v>0</v>
      </c>
    </row>
    <row r="221" spans="1:7" x14ac:dyDescent="0.3">
      <c r="A221" s="6">
        <v>219</v>
      </c>
      <c r="B221" s="11" t="s">
        <v>602</v>
      </c>
      <c r="C221" s="6" t="s">
        <v>206</v>
      </c>
      <c r="D221" s="9" t="s">
        <v>6</v>
      </c>
      <c r="E221" s="10">
        <v>2037</v>
      </c>
      <c r="F221" s="1">
        <v>0</v>
      </c>
      <c r="G221" s="16">
        <f t="shared" si="3"/>
        <v>0</v>
      </c>
    </row>
    <row r="222" spans="1:7" x14ac:dyDescent="0.3">
      <c r="A222" s="6">
        <v>220</v>
      </c>
      <c r="B222" s="11" t="s">
        <v>602</v>
      </c>
      <c r="C222" s="6" t="s">
        <v>207</v>
      </c>
      <c r="D222" s="9" t="s">
        <v>6</v>
      </c>
      <c r="E222" s="10">
        <v>2150</v>
      </c>
      <c r="F222" s="1">
        <v>0</v>
      </c>
      <c r="G222" s="16">
        <f t="shared" si="3"/>
        <v>0</v>
      </c>
    </row>
    <row r="223" spans="1:7" ht="15" customHeight="1" x14ac:dyDescent="0.3">
      <c r="A223" s="6">
        <v>221</v>
      </c>
      <c r="B223" s="11" t="s">
        <v>602</v>
      </c>
      <c r="C223" s="6" t="s">
        <v>208</v>
      </c>
      <c r="D223" s="9" t="s">
        <v>6</v>
      </c>
      <c r="E223" s="10">
        <v>569</v>
      </c>
      <c r="F223" s="1">
        <v>0</v>
      </c>
      <c r="G223" s="16">
        <f t="shared" si="3"/>
        <v>0</v>
      </c>
    </row>
    <row r="224" spans="1:7" ht="15" customHeight="1" x14ac:dyDescent="0.3">
      <c r="A224" s="6">
        <v>222</v>
      </c>
      <c r="B224" s="11" t="s">
        <v>602</v>
      </c>
      <c r="C224" s="6" t="s">
        <v>209</v>
      </c>
      <c r="D224" s="9" t="s">
        <v>6</v>
      </c>
      <c r="E224" s="10">
        <v>576</v>
      </c>
      <c r="F224" s="1">
        <v>0</v>
      </c>
      <c r="G224" s="16">
        <f t="shared" si="3"/>
        <v>0</v>
      </c>
    </row>
    <row r="225" spans="1:7" ht="15" customHeight="1" x14ac:dyDescent="0.3">
      <c r="A225" s="6">
        <v>223</v>
      </c>
      <c r="B225" s="11" t="s">
        <v>602</v>
      </c>
      <c r="C225" s="6" t="s">
        <v>210</v>
      </c>
      <c r="D225" s="9" t="s">
        <v>6</v>
      </c>
      <c r="E225" s="10">
        <v>787</v>
      </c>
      <c r="F225" s="1">
        <v>0</v>
      </c>
      <c r="G225" s="16">
        <f t="shared" si="3"/>
        <v>0</v>
      </c>
    </row>
    <row r="226" spans="1:7" ht="15" customHeight="1" x14ac:dyDescent="0.3">
      <c r="A226" s="6">
        <v>224</v>
      </c>
      <c r="B226" s="11" t="s">
        <v>602</v>
      </c>
      <c r="C226" s="6" t="s">
        <v>211</v>
      </c>
      <c r="D226" s="9" t="s">
        <v>6</v>
      </c>
      <c r="E226" s="10">
        <v>894</v>
      </c>
      <c r="F226" s="1">
        <v>0</v>
      </c>
      <c r="G226" s="16">
        <f t="shared" si="3"/>
        <v>0</v>
      </c>
    </row>
    <row r="227" spans="1:7" ht="15" customHeight="1" x14ac:dyDescent="0.3">
      <c r="A227" s="6">
        <v>225</v>
      </c>
      <c r="B227" s="11" t="s">
        <v>602</v>
      </c>
      <c r="C227" s="6" t="s">
        <v>212</v>
      </c>
      <c r="D227" s="9" t="s">
        <v>6</v>
      </c>
      <c r="E227" s="10">
        <v>1027</v>
      </c>
      <c r="F227" s="1">
        <v>0</v>
      </c>
      <c r="G227" s="16">
        <f t="shared" si="3"/>
        <v>0</v>
      </c>
    </row>
    <row r="228" spans="1:7" ht="15" customHeight="1" x14ac:dyDescent="0.3">
      <c r="A228" s="6">
        <v>226</v>
      </c>
      <c r="B228" s="11" t="s">
        <v>602</v>
      </c>
      <c r="C228" s="18" t="s">
        <v>213</v>
      </c>
      <c r="D228" s="9" t="s">
        <v>6</v>
      </c>
      <c r="E228" s="10">
        <v>629</v>
      </c>
      <c r="F228" s="1">
        <v>0</v>
      </c>
      <c r="G228" s="16">
        <f t="shared" si="3"/>
        <v>0</v>
      </c>
    </row>
    <row r="229" spans="1:7" x14ac:dyDescent="0.3">
      <c r="A229" s="6">
        <v>227</v>
      </c>
      <c r="B229" s="11" t="s">
        <v>602</v>
      </c>
      <c r="C229" s="18" t="s">
        <v>214</v>
      </c>
      <c r="D229" s="9" t="s">
        <v>6</v>
      </c>
      <c r="E229" s="10">
        <v>926</v>
      </c>
      <c r="F229" s="1">
        <v>0</v>
      </c>
      <c r="G229" s="16">
        <f t="shared" si="3"/>
        <v>0</v>
      </c>
    </row>
    <row r="230" spans="1:7" x14ac:dyDescent="0.3">
      <c r="A230" s="6">
        <v>228</v>
      </c>
      <c r="B230" s="11" t="s">
        <v>602</v>
      </c>
      <c r="C230" s="18" t="s">
        <v>215</v>
      </c>
      <c r="D230" s="9" t="s">
        <v>6</v>
      </c>
      <c r="E230" s="10">
        <v>1023</v>
      </c>
      <c r="F230" s="1">
        <v>0</v>
      </c>
      <c r="G230" s="16">
        <f t="shared" si="3"/>
        <v>0</v>
      </c>
    </row>
    <row r="231" spans="1:7" ht="15" customHeight="1" x14ac:dyDescent="0.3">
      <c r="A231" s="6">
        <v>229</v>
      </c>
      <c r="B231" s="11" t="s">
        <v>602</v>
      </c>
      <c r="C231" s="18" t="s">
        <v>216</v>
      </c>
      <c r="D231" s="9" t="s">
        <v>6</v>
      </c>
      <c r="E231" s="10">
        <v>1213</v>
      </c>
      <c r="F231" s="1">
        <v>0</v>
      </c>
      <c r="G231" s="16">
        <f t="shared" si="3"/>
        <v>0</v>
      </c>
    </row>
    <row r="232" spans="1:7" x14ac:dyDescent="0.3">
      <c r="A232" s="6">
        <v>230</v>
      </c>
      <c r="B232" s="11" t="s">
        <v>602</v>
      </c>
      <c r="C232" s="18" t="s">
        <v>217</v>
      </c>
      <c r="D232" s="9" t="s">
        <v>6</v>
      </c>
      <c r="E232" s="10">
        <v>1258</v>
      </c>
      <c r="F232" s="1">
        <v>0</v>
      </c>
      <c r="G232" s="16">
        <f t="shared" si="3"/>
        <v>0</v>
      </c>
    </row>
    <row r="233" spans="1:7" x14ac:dyDescent="0.3">
      <c r="A233" s="6">
        <v>231</v>
      </c>
      <c r="B233" s="11" t="s">
        <v>602</v>
      </c>
      <c r="C233" s="6" t="s">
        <v>218</v>
      </c>
      <c r="D233" s="9" t="s">
        <v>6</v>
      </c>
      <c r="E233" s="10">
        <v>1369</v>
      </c>
      <c r="F233" s="1">
        <v>0</v>
      </c>
      <c r="G233" s="16">
        <f t="shared" si="3"/>
        <v>0</v>
      </c>
    </row>
    <row r="234" spans="1:7" x14ac:dyDescent="0.3">
      <c r="A234" s="6">
        <v>232</v>
      </c>
      <c r="B234" s="11" t="s">
        <v>602</v>
      </c>
      <c r="C234" s="6" t="s">
        <v>219</v>
      </c>
      <c r="D234" s="9" t="s">
        <v>6</v>
      </c>
      <c r="E234" s="10">
        <v>1685</v>
      </c>
      <c r="F234" s="1">
        <v>0</v>
      </c>
      <c r="G234" s="16">
        <f t="shared" si="3"/>
        <v>0</v>
      </c>
    </row>
    <row r="235" spans="1:7" x14ac:dyDescent="0.3">
      <c r="A235" s="6">
        <v>233</v>
      </c>
      <c r="B235" s="11" t="s">
        <v>602</v>
      </c>
      <c r="C235" s="6" t="s">
        <v>220</v>
      </c>
      <c r="D235" s="9" t="s">
        <v>6</v>
      </c>
      <c r="E235" s="10">
        <v>2023</v>
      </c>
      <c r="F235" s="1">
        <v>0</v>
      </c>
      <c r="G235" s="16">
        <f t="shared" si="3"/>
        <v>0</v>
      </c>
    </row>
    <row r="236" spans="1:7" ht="15" customHeight="1" x14ac:dyDescent="0.3">
      <c r="A236" s="6">
        <v>234</v>
      </c>
      <c r="B236" s="11" t="s">
        <v>602</v>
      </c>
      <c r="C236" s="6" t="s">
        <v>221</v>
      </c>
      <c r="D236" s="9" t="s">
        <v>6</v>
      </c>
      <c r="E236" s="10">
        <v>186</v>
      </c>
      <c r="F236" s="1">
        <v>0</v>
      </c>
      <c r="G236" s="16">
        <f t="shared" si="3"/>
        <v>0</v>
      </c>
    </row>
    <row r="237" spans="1:7" x14ac:dyDescent="0.3">
      <c r="A237" s="6">
        <v>235</v>
      </c>
      <c r="B237" s="11" t="s">
        <v>602</v>
      </c>
      <c r="C237" s="6" t="s">
        <v>222</v>
      </c>
      <c r="D237" s="9" t="s">
        <v>6</v>
      </c>
      <c r="E237" s="10">
        <v>337</v>
      </c>
      <c r="F237" s="1">
        <v>0</v>
      </c>
      <c r="G237" s="16">
        <f t="shared" si="3"/>
        <v>0</v>
      </c>
    </row>
    <row r="238" spans="1:7" x14ac:dyDescent="0.3">
      <c r="A238" s="6">
        <v>236</v>
      </c>
      <c r="B238" s="11" t="s">
        <v>602</v>
      </c>
      <c r="C238" s="6" t="s">
        <v>223</v>
      </c>
      <c r="D238" s="9" t="s">
        <v>6</v>
      </c>
      <c r="E238" s="10">
        <v>547</v>
      </c>
      <c r="F238" s="1">
        <v>0</v>
      </c>
      <c r="G238" s="16">
        <f t="shared" si="3"/>
        <v>0</v>
      </c>
    </row>
    <row r="239" spans="1:7" ht="15" customHeight="1" x14ac:dyDescent="0.3">
      <c r="A239" s="6">
        <v>237</v>
      </c>
      <c r="B239" s="11" t="s">
        <v>602</v>
      </c>
      <c r="C239" s="6" t="s">
        <v>224</v>
      </c>
      <c r="D239" s="9" t="s">
        <v>6</v>
      </c>
      <c r="E239" s="10">
        <v>923</v>
      </c>
      <c r="F239" s="1">
        <v>0</v>
      </c>
      <c r="G239" s="16">
        <f t="shared" si="3"/>
        <v>0</v>
      </c>
    </row>
    <row r="240" spans="1:7" x14ac:dyDescent="0.3">
      <c r="A240" s="6">
        <v>238</v>
      </c>
      <c r="B240" s="11" t="s">
        <v>602</v>
      </c>
      <c r="C240" s="6" t="s">
        <v>225</v>
      </c>
      <c r="D240" s="9" t="s">
        <v>6</v>
      </c>
      <c r="E240" s="10">
        <v>1144</v>
      </c>
      <c r="F240" s="1">
        <v>0</v>
      </c>
      <c r="G240" s="16">
        <f t="shared" si="3"/>
        <v>0</v>
      </c>
    </row>
    <row r="241" spans="1:7" ht="15" customHeight="1" x14ac:dyDescent="0.3">
      <c r="A241" s="6">
        <v>239</v>
      </c>
      <c r="B241" s="11" t="s">
        <v>602</v>
      </c>
      <c r="C241" s="6" t="s">
        <v>226</v>
      </c>
      <c r="D241" s="9" t="s">
        <v>6</v>
      </c>
      <c r="E241" s="10">
        <v>8991</v>
      </c>
      <c r="F241" s="1">
        <v>0</v>
      </c>
      <c r="G241" s="16">
        <f t="shared" si="3"/>
        <v>0</v>
      </c>
    </row>
    <row r="242" spans="1:7" x14ac:dyDescent="0.3">
      <c r="A242" s="6">
        <v>240</v>
      </c>
      <c r="B242" s="11" t="s">
        <v>602</v>
      </c>
      <c r="C242" s="6" t="s">
        <v>227</v>
      </c>
      <c r="D242" s="9" t="s">
        <v>6</v>
      </c>
      <c r="E242" s="10">
        <v>300</v>
      </c>
      <c r="F242" s="1">
        <v>0</v>
      </c>
      <c r="G242" s="16">
        <f t="shared" si="3"/>
        <v>0</v>
      </c>
    </row>
    <row r="243" spans="1:7" x14ac:dyDescent="0.3">
      <c r="A243" s="6">
        <v>241</v>
      </c>
      <c r="B243" s="11" t="s">
        <v>602</v>
      </c>
      <c r="C243" s="6" t="s">
        <v>228</v>
      </c>
      <c r="D243" s="9" t="s">
        <v>229</v>
      </c>
      <c r="E243" s="10">
        <v>461</v>
      </c>
      <c r="F243" s="1">
        <v>0</v>
      </c>
      <c r="G243" s="16">
        <f t="shared" si="3"/>
        <v>0</v>
      </c>
    </row>
    <row r="244" spans="1:7" x14ac:dyDescent="0.3">
      <c r="A244" s="6">
        <v>242</v>
      </c>
      <c r="B244" s="11" t="s">
        <v>602</v>
      </c>
      <c r="C244" s="6" t="s">
        <v>230</v>
      </c>
      <c r="D244" s="9" t="s">
        <v>229</v>
      </c>
      <c r="E244" s="10">
        <v>777</v>
      </c>
      <c r="F244" s="1">
        <v>0</v>
      </c>
      <c r="G244" s="16">
        <f t="shared" si="3"/>
        <v>0</v>
      </c>
    </row>
    <row r="245" spans="1:7" x14ac:dyDescent="0.3">
      <c r="A245" s="6">
        <v>243</v>
      </c>
      <c r="B245" s="11" t="s">
        <v>602</v>
      </c>
      <c r="C245" s="6" t="s">
        <v>231</v>
      </c>
      <c r="D245" s="9" t="s">
        <v>229</v>
      </c>
      <c r="E245" s="10">
        <v>1152</v>
      </c>
      <c r="F245" s="1">
        <v>0</v>
      </c>
      <c r="G245" s="16">
        <f t="shared" si="3"/>
        <v>0</v>
      </c>
    </row>
    <row r="246" spans="1:7" x14ac:dyDescent="0.3">
      <c r="A246" s="6">
        <v>244</v>
      </c>
      <c r="B246" s="11" t="s">
        <v>602</v>
      </c>
      <c r="C246" s="6" t="s">
        <v>232</v>
      </c>
      <c r="D246" s="9" t="s">
        <v>6</v>
      </c>
      <c r="E246" s="10">
        <v>14758</v>
      </c>
      <c r="F246" s="1">
        <v>0</v>
      </c>
      <c r="G246" s="16">
        <f t="shared" si="3"/>
        <v>0</v>
      </c>
    </row>
    <row r="247" spans="1:7" x14ac:dyDescent="0.3">
      <c r="A247" s="6">
        <v>245</v>
      </c>
      <c r="B247" s="11" t="s">
        <v>602</v>
      </c>
      <c r="C247" s="6" t="s">
        <v>233</v>
      </c>
      <c r="D247" s="9" t="s">
        <v>6</v>
      </c>
      <c r="E247" s="10">
        <v>12049</v>
      </c>
      <c r="F247" s="1">
        <v>0</v>
      </c>
      <c r="G247" s="16">
        <f t="shared" si="3"/>
        <v>0</v>
      </c>
    </row>
    <row r="248" spans="1:7" x14ac:dyDescent="0.3">
      <c r="A248" s="6">
        <v>246</v>
      </c>
      <c r="B248" s="11" t="s">
        <v>602</v>
      </c>
      <c r="C248" s="6" t="s">
        <v>234</v>
      </c>
      <c r="D248" s="9" t="s">
        <v>6</v>
      </c>
      <c r="E248" s="10">
        <v>10235</v>
      </c>
      <c r="F248" s="1">
        <v>0</v>
      </c>
      <c r="G248" s="16">
        <f t="shared" si="3"/>
        <v>0</v>
      </c>
    </row>
    <row r="249" spans="1:7" x14ac:dyDescent="0.3">
      <c r="A249" s="6">
        <v>247</v>
      </c>
      <c r="B249" s="11" t="s">
        <v>602</v>
      </c>
      <c r="C249" s="6" t="s">
        <v>235</v>
      </c>
      <c r="D249" s="9" t="s">
        <v>6</v>
      </c>
      <c r="E249" s="10">
        <v>9237</v>
      </c>
      <c r="F249" s="1">
        <v>0</v>
      </c>
      <c r="G249" s="16">
        <f t="shared" si="3"/>
        <v>0</v>
      </c>
    </row>
    <row r="250" spans="1:7" ht="15" customHeight="1" x14ac:dyDescent="0.3">
      <c r="A250" s="6">
        <v>248</v>
      </c>
      <c r="B250" s="11" t="s">
        <v>602</v>
      </c>
      <c r="C250" s="6" t="s">
        <v>236</v>
      </c>
      <c r="D250" s="9" t="s">
        <v>6</v>
      </c>
      <c r="E250" s="10">
        <v>4751</v>
      </c>
      <c r="F250" s="1">
        <v>0</v>
      </c>
      <c r="G250" s="16">
        <f t="shared" si="3"/>
        <v>0</v>
      </c>
    </row>
    <row r="251" spans="1:7" x14ac:dyDescent="0.3">
      <c r="A251" s="6">
        <v>249</v>
      </c>
      <c r="B251" s="11" t="s">
        <v>602</v>
      </c>
      <c r="C251" s="6" t="s">
        <v>237</v>
      </c>
      <c r="D251" s="9" t="s">
        <v>6</v>
      </c>
      <c r="E251" s="10">
        <v>3676</v>
      </c>
      <c r="F251" s="1">
        <v>0</v>
      </c>
      <c r="G251" s="16">
        <f t="shared" si="3"/>
        <v>0</v>
      </c>
    </row>
    <row r="252" spans="1:7" x14ac:dyDescent="0.3">
      <c r="A252" s="6">
        <v>250</v>
      </c>
      <c r="B252" s="11" t="s">
        <v>602</v>
      </c>
      <c r="C252" s="6" t="s">
        <v>238</v>
      </c>
      <c r="D252" s="9" t="s">
        <v>6</v>
      </c>
      <c r="E252" s="10">
        <v>3197</v>
      </c>
      <c r="F252" s="1">
        <v>0</v>
      </c>
      <c r="G252" s="16">
        <f t="shared" si="3"/>
        <v>0</v>
      </c>
    </row>
    <row r="253" spans="1:7" ht="15" customHeight="1" x14ac:dyDescent="0.3">
      <c r="A253" s="6">
        <v>251</v>
      </c>
      <c r="B253" s="11" t="s">
        <v>602</v>
      </c>
      <c r="C253" s="6" t="s">
        <v>239</v>
      </c>
      <c r="D253" s="9" t="s">
        <v>6</v>
      </c>
      <c r="E253" s="10">
        <v>12794</v>
      </c>
      <c r="F253" s="1">
        <v>0</v>
      </c>
      <c r="G253" s="16">
        <f t="shared" si="3"/>
        <v>0</v>
      </c>
    </row>
    <row r="254" spans="1:7" x14ac:dyDescent="0.3">
      <c r="A254" s="6">
        <v>252</v>
      </c>
      <c r="B254" s="11" t="s">
        <v>602</v>
      </c>
      <c r="C254" s="6" t="s">
        <v>240</v>
      </c>
      <c r="D254" s="9" t="s">
        <v>6</v>
      </c>
      <c r="E254" s="10">
        <v>14433</v>
      </c>
      <c r="F254" s="1">
        <v>0</v>
      </c>
      <c r="G254" s="16">
        <f t="shared" si="3"/>
        <v>0</v>
      </c>
    </row>
    <row r="255" spans="1:7" x14ac:dyDescent="0.3">
      <c r="A255" s="6">
        <v>253</v>
      </c>
      <c r="B255" s="11" t="s">
        <v>602</v>
      </c>
      <c r="C255" s="6" t="s">
        <v>241</v>
      </c>
      <c r="D255" s="9" t="s">
        <v>6</v>
      </c>
      <c r="E255" s="10">
        <v>7248</v>
      </c>
      <c r="F255" s="1">
        <v>0</v>
      </c>
      <c r="G255" s="16">
        <f t="shared" si="3"/>
        <v>0</v>
      </c>
    </row>
    <row r="256" spans="1:7" x14ac:dyDescent="0.3">
      <c r="A256" s="6">
        <v>254</v>
      </c>
      <c r="B256" s="11" t="s">
        <v>602</v>
      </c>
      <c r="C256" s="6" t="s">
        <v>242</v>
      </c>
      <c r="D256" s="9" t="s">
        <v>6</v>
      </c>
      <c r="E256" s="10">
        <v>1441</v>
      </c>
      <c r="F256" s="1">
        <v>0</v>
      </c>
      <c r="G256" s="16">
        <f t="shared" si="3"/>
        <v>0</v>
      </c>
    </row>
    <row r="257" spans="1:7" x14ac:dyDescent="0.3">
      <c r="A257" s="6">
        <v>255</v>
      </c>
      <c r="B257" s="11" t="s">
        <v>602</v>
      </c>
      <c r="C257" s="6" t="s">
        <v>243</v>
      </c>
      <c r="D257" s="9" t="s">
        <v>6</v>
      </c>
      <c r="E257" s="10">
        <v>1499</v>
      </c>
      <c r="F257" s="1">
        <v>0</v>
      </c>
      <c r="G257" s="16">
        <f t="shared" si="3"/>
        <v>0</v>
      </c>
    </row>
    <row r="258" spans="1:7" ht="15" customHeight="1" x14ac:dyDescent="0.3">
      <c r="A258" s="6">
        <v>256</v>
      </c>
      <c r="B258" s="11" t="s">
        <v>602</v>
      </c>
      <c r="C258" s="6" t="s">
        <v>244</v>
      </c>
      <c r="D258" s="9" t="s">
        <v>6</v>
      </c>
      <c r="E258" s="10">
        <v>696</v>
      </c>
      <c r="F258" s="1">
        <v>0</v>
      </c>
      <c r="G258" s="16">
        <f t="shared" si="3"/>
        <v>0</v>
      </c>
    </row>
    <row r="259" spans="1:7" x14ac:dyDescent="0.3">
      <c r="A259" s="6">
        <v>257</v>
      </c>
      <c r="B259" s="11" t="s">
        <v>602</v>
      </c>
      <c r="C259" s="6" t="s">
        <v>245</v>
      </c>
      <c r="D259" s="9" t="s">
        <v>6</v>
      </c>
      <c r="E259" s="10">
        <v>897</v>
      </c>
      <c r="F259" s="1">
        <v>0</v>
      </c>
      <c r="G259" s="16">
        <f t="shared" si="3"/>
        <v>0</v>
      </c>
    </row>
    <row r="260" spans="1:7" ht="15" customHeight="1" x14ac:dyDescent="0.3">
      <c r="A260" s="6">
        <v>258</v>
      </c>
      <c r="B260" s="11" t="s">
        <v>602</v>
      </c>
      <c r="C260" s="6" t="s">
        <v>246</v>
      </c>
      <c r="D260" s="9" t="s">
        <v>6</v>
      </c>
      <c r="E260" s="10">
        <v>2155</v>
      </c>
      <c r="F260" s="1">
        <v>0</v>
      </c>
      <c r="G260" s="16">
        <f t="shared" si="3"/>
        <v>0</v>
      </c>
    </row>
    <row r="261" spans="1:7" ht="20.25" customHeight="1" x14ac:dyDescent="0.3">
      <c r="A261" s="6">
        <v>259</v>
      </c>
      <c r="B261" s="11" t="s">
        <v>602</v>
      </c>
      <c r="C261" s="35" t="s">
        <v>247</v>
      </c>
      <c r="D261" s="38" t="s">
        <v>9</v>
      </c>
      <c r="E261" s="42">
        <v>5038</v>
      </c>
      <c r="F261" s="1">
        <v>0</v>
      </c>
      <c r="G261" s="37">
        <f t="shared" si="3"/>
        <v>0</v>
      </c>
    </row>
    <row r="262" spans="1:7" ht="15" customHeight="1" x14ac:dyDescent="0.3">
      <c r="A262" s="6">
        <v>260</v>
      </c>
      <c r="B262" s="11" t="s">
        <v>602</v>
      </c>
      <c r="C262" s="6" t="s">
        <v>248</v>
      </c>
      <c r="D262" s="9" t="s">
        <v>8</v>
      </c>
      <c r="E262" s="10">
        <v>10626</v>
      </c>
      <c r="F262" s="1">
        <v>0</v>
      </c>
      <c r="G262" s="16">
        <f t="shared" si="3"/>
        <v>0</v>
      </c>
    </row>
    <row r="263" spans="1:7" ht="41.25" customHeight="1" x14ac:dyDescent="0.3">
      <c r="A263" s="6">
        <v>261</v>
      </c>
      <c r="B263" s="11" t="s">
        <v>602</v>
      </c>
      <c r="C263" s="6" t="s">
        <v>249</v>
      </c>
      <c r="D263" s="9" t="s">
        <v>8</v>
      </c>
      <c r="E263" s="10">
        <v>9787</v>
      </c>
      <c r="F263" s="1">
        <v>0</v>
      </c>
      <c r="G263" s="16">
        <f t="shared" si="3"/>
        <v>0</v>
      </c>
    </row>
    <row r="264" spans="1:7" ht="25.5" customHeight="1" x14ac:dyDescent="0.3">
      <c r="A264" s="6">
        <v>262</v>
      </c>
      <c r="B264" s="11" t="s">
        <v>602</v>
      </c>
      <c r="C264" s="6" t="s">
        <v>250</v>
      </c>
      <c r="D264" s="9" t="s">
        <v>8</v>
      </c>
      <c r="E264" s="10">
        <v>12372</v>
      </c>
      <c r="F264" s="1">
        <v>0</v>
      </c>
      <c r="G264" s="16">
        <f t="shared" si="3"/>
        <v>0</v>
      </c>
    </row>
    <row r="265" spans="1:7" ht="31.5" customHeight="1" x14ac:dyDescent="0.3">
      <c r="A265" s="6">
        <v>263</v>
      </c>
      <c r="B265" s="11" t="s">
        <v>602</v>
      </c>
      <c r="C265" s="6" t="s">
        <v>251</v>
      </c>
      <c r="D265" s="9" t="s">
        <v>8</v>
      </c>
      <c r="E265" s="10">
        <v>11532</v>
      </c>
      <c r="F265" s="1">
        <v>0</v>
      </c>
      <c r="G265" s="16">
        <f t="shared" si="3"/>
        <v>0</v>
      </c>
    </row>
    <row r="266" spans="1:7" ht="15" customHeight="1" x14ac:dyDescent="0.3">
      <c r="A266" s="6">
        <v>264</v>
      </c>
      <c r="B266" s="11" t="s">
        <v>602</v>
      </c>
      <c r="C266" s="6" t="s">
        <v>252</v>
      </c>
      <c r="D266" s="9" t="s">
        <v>6</v>
      </c>
      <c r="E266" s="10">
        <v>6628</v>
      </c>
      <c r="F266" s="1">
        <v>0</v>
      </c>
      <c r="G266" s="16">
        <f t="shared" si="3"/>
        <v>0</v>
      </c>
    </row>
    <row r="267" spans="1:7" ht="15" customHeight="1" x14ac:dyDescent="0.3">
      <c r="A267" s="6">
        <v>265</v>
      </c>
      <c r="B267" s="11" t="s">
        <v>602</v>
      </c>
      <c r="C267" s="6" t="s">
        <v>253</v>
      </c>
      <c r="D267" s="9" t="s">
        <v>8</v>
      </c>
      <c r="E267" s="10">
        <v>928</v>
      </c>
      <c r="F267" s="1">
        <v>0</v>
      </c>
      <c r="G267" s="16">
        <f t="shared" ref="G267:G330" si="4">E267*F267</f>
        <v>0</v>
      </c>
    </row>
    <row r="268" spans="1:7" ht="15" customHeight="1" x14ac:dyDescent="0.3">
      <c r="A268" s="6">
        <v>266</v>
      </c>
      <c r="B268" s="11" t="s">
        <v>602</v>
      </c>
      <c r="C268" s="6" t="s">
        <v>254</v>
      </c>
      <c r="D268" s="9" t="s">
        <v>6</v>
      </c>
      <c r="E268" s="10">
        <v>1698</v>
      </c>
      <c r="F268" s="1">
        <v>0</v>
      </c>
      <c r="G268" s="16">
        <f t="shared" si="4"/>
        <v>0</v>
      </c>
    </row>
    <row r="269" spans="1:7" x14ac:dyDescent="0.3">
      <c r="A269" s="6">
        <v>267</v>
      </c>
      <c r="B269" s="11" t="s">
        <v>602</v>
      </c>
      <c r="C269" s="6" t="s">
        <v>255</v>
      </c>
      <c r="D269" s="9" t="s">
        <v>6</v>
      </c>
      <c r="E269" s="10">
        <v>1698</v>
      </c>
      <c r="F269" s="1">
        <v>0</v>
      </c>
      <c r="G269" s="16">
        <f t="shared" si="4"/>
        <v>0</v>
      </c>
    </row>
    <row r="270" spans="1:7" ht="15" customHeight="1" x14ac:dyDescent="0.3">
      <c r="A270" s="6">
        <v>268</v>
      </c>
      <c r="B270" s="11" t="s">
        <v>602</v>
      </c>
      <c r="C270" s="6" t="s">
        <v>256</v>
      </c>
      <c r="D270" s="9" t="s">
        <v>6</v>
      </c>
      <c r="E270" s="10">
        <v>1054</v>
      </c>
      <c r="F270" s="1">
        <v>0</v>
      </c>
      <c r="G270" s="16">
        <f t="shared" si="4"/>
        <v>0</v>
      </c>
    </row>
    <row r="271" spans="1:7" ht="15" customHeight="1" x14ac:dyDescent="0.3">
      <c r="A271" s="6">
        <v>269</v>
      </c>
      <c r="B271" s="11" t="s">
        <v>602</v>
      </c>
      <c r="C271" s="6" t="s">
        <v>257</v>
      </c>
      <c r="D271" s="9" t="s">
        <v>6</v>
      </c>
      <c r="E271" s="10">
        <v>998</v>
      </c>
      <c r="F271" s="1">
        <v>0</v>
      </c>
      <c r="G271" s="16">
        <f t="shared" si="4"/>
        <v>0</v>
      </c>
    </row>
    <row r="272" spans="1:7" ht="15" customHeight="1" x14ac:dyDescent="0.3">
      <c r="A272" s="6">
        <v>270</v>
      </c>
      <c r="B272" s="11" t="s">
        <v>602</v>
      </c>
      <c r="C272" s="6" t="s">
        <v>258</v>
      </c>
      <c r="D272" s="9" t="s">
        <v>6</v>
      </c>
      <c r="E272" s="10">
        <v>368</v>
      </c>
      <c r="F272" s="1">
        <v>0</v>
      </c>
      <c r="G272" s="16">
        <f t="shared" si="4"/>
        <v>0</v>
      </c>
    </row>
    <row r="273" spans="1:7" ht="15" customHeight="1" x14ac:dyDescent="0.3">
      <c r="A273" s="6">
        <v>271</v>
      </c>
      <c r="B273" s="11" t="s">
        <v>602</v>
      </c>
      <c r="C273" s="6" t="s">
        <v>259</v>
      </c>
      <c r="D273" s="9" t="s">
        <v>2</v>
      </c>
      <c r="E273" s="10">
        <v>25000</v>
      </c>
      <c r="F273" s="1">
        <v>0</v>
      </c>
      <c r="G273" s="16">
        <f t="shared" si="4"/>
        <v>0</v>
      </c>
    </row>
    <row r="274" spans="1:7" x14ac:dyDescent="0.3">
      <c r="A274" s="6">
        <v>272</v>
      </c>
      <c r="B274" s="11" t="s">
        <v>602</v>
      </c>
      <c r="C274" s="6" t="s">
        <v>260</v>
      </c>
      <c r="D274" s="9" t="s">
        <v>2</v>
      </c>
      <c r="E274" s="10">
        <v>29000</v>
      </c>
      <c r="F274" s="1">
        <v>0</v>
      </c>
      <c r="G274" s="16">
        <f t="shared" si="4"/>
        <v>0</v>
      </c>
    </row>
    <row r="275" spans="1:7" x14ac:dyDescent="0.3">
      <c r="A275" s="6">
        <v>273</v>
      </c>
      <c r="B275" s="11" t="s">
        <v>602</v>
      </c>
      <c r="C275" s="6" t="s">
        <v>261</v>
      </c>
      <c r="D275" s="9" t="s">
        <v>2</v>
      </c>
      <c r="E275" s="10">
        <v>38000</v>
      </c>
      <c r="F275" s="1">
        <v>0</v>
      </c>
      <c r="G275" s="16">
        <f t="shared" si="4"/>
        <v>0</v>
      </c>
    </row>
    <row r="276" spans="1:7" x14ac:dyDescent="0.3">
      <c r="A276" s="6">
        <v>274</v>
      </c>
      <c r="B276" s="11" t="s">
        <v>602</v>
      </c>
      <c r="C276" s="6" t="s">
        <v>262</v>
      </c>
      <c r="D276" s="9" t="s">
        <v>2</v>
      </c>
      <c r="E276" s="10">
        <v>46000</v>
      </c>
      <c r="F276" s="1">
        <v>0</v>
      </c>
      <c r="G276" s="16">
        <f t="shared" si="4"/>
        <v>0</v>
      </c>
    </row>
    <row r="277" spans="1:7" ht="15" customHeight="1" x14ac:dyDescent="0.3">
      <c r="A277" s="6">
        <v>275</v>
      </c>
      <c r="B277" s="11" t="s">
        <v>602</v>
      </c>
      <c r="C277" s="6" t="s">
        <v>263</v>
      </c>
      <c r="D277" s="9" t="s">
        <v>2</v>
      </c>
      <c r="E277" s="10">
        <v>17000</v>
      </c>
      <c r="F277" s="1">
        <v>0</v>
      </c>
      <c r="G277" s="16">
        <f t="shared" si="4"/>
        <v>0</v>
      </c>
    </row>
    <row r="278" spans="1:7" ht="15" customHeight="1" x14ac:dyDescent="0.3">
      <c r="A278" s="6">
        <v>276</v>
      </c>
      <c r="B278" s="11" t="s">
        <v>602</v>
      </c>
      <c r="C278" s="6" t="s">
        <v>264</v>
      </c>
      <c r="D278" s="9" t="s">
        <v>2</v>
      </c>
      <c r="E278" s="10">
        <v>29000</v>
      </c>
      <c r="F278" s="1">
        <v>0</v>
      </c>
      <c r="G278" s="16">
        <f t="shared" si="4"/>
        <v>0</v>
      </c>
    </row>
    <row r="279" spans="1:7" ht="15" customHeight="1" x14ac:dyDescent="0.3">
      <c r="A279" s="6">
        <v>277</v>
      </c>
      <c r="B279" s="11" t="s">
        <v>602</v>
      </c>
      <c r="C279" s="6" t="s">
        <v>265</v>
      </c>
      <c r="D279" s="9" t="s">
        <v>2</v>
      </c>
      <c r="E279" s="10">
        <v>34000</v>
      </c>
      <c r="F279" s="1">
        <v>0</v>
      </c>
      <c r="G279" s="16">
        <f t="shared" si="4"/>
        <v>0</v>
      </c>
    </row>
    <row r="280" spans="1:7" ht="15" customHeight="1" x14ac:dyDescent="0.3">
      <c r="A280" s="6">
        <v>278</v>
      </c>
      <c r="B280" s="11" t="s">
        <v>602</v>
      </c>
      <c r="C280" s="6" t="s">
        <v>266</v>
      </c>
      <c r="D280" s="9" t="s">
        <v>2</v>
      </c>
      <c r="E280" s="10">
        <v>36000</v>
      </c>
      <c r="F280" s="1">
        <v>0</v>
      </c>
      <c r="G280" s="16">
        <f t="shared" si="4"/>
        <v>0</v>
      </c>
    </row>
    <row r="281" spans="1:7" ht="15" customHeight="1" x14ac:dyDescent="0.3">
      <c r="A281" s="6">
        <v>279</v>
      </c>
      <c r="B281" s="11" t="s">
        <v>602</v>
      </c>
      <c r="C281" s="6" t="s">
        <v>267</v>
      </c>
      <c r="D281" s="9" t="s">
        <v>2</v>
      </c>
      <c r="E281" s="10">
        <v>50000</v>
      </c>
      <c r="F281" s="1">
        <v>0</v>
      </c>
      <c r="G281" s="16">
        <f t="shared" si="4"/>
        <v>0</v>
      </c>
    </row>
    <row r="282" spans="1:7" ht="15" customHeight="1" x14ac:dyDescent="0.3">
      <c r="A282" s="6">
        <v>280</v>
      </c>
      <c r="B282" s="11" t="s">
        <v>602</v>
      </c>
      <c r="C282" s="6" t="s">
        <v>268</v>
      </c>
      <c r="D282" s="9" t="s">
        <v>2</v>
      </c>
      <c r="E282" s="10">
        <v>31000</v>
      </c>
      <c r="F282" s="1">
        <v>0</v>
      </c>
      <c r="G282" s="16">
        <f t="shared" si="4"/>
        <v>0</v>
      </c>
    </row>
    <row r="283" spans="1:7" ht="27.75" customHeight="1" x14ac:dyDescent="0.3">
      <c r="A283" s="6">
        <v>281</v>
      </c>
      <c r="B283" s="11" t="s">
        <v>602</v>
      </c>
      <c r="C283" s="6" t="s">
        <v>269</v>
      </c>
      <c r="D283" s="9" t="s">
        <v>2</v>
      </c>
      <c r="E283" s="10">
        <v>35000</v>
      </c>
      <c r="F283" s="1">
        <v>0</v>
      </c>
      <c r="G283" s="16">
        <f t="shared" si="4"/>
        <v>0</v>
      </c>
    </row>
    <row r="284" spans="1:7" ht="34.5" customHeight="1" x14ac:dyDescent="0.3">
      <c r="A284" s="6">
        <v>282</v>
      </c>
      <c r="B284" s="11" t="s">
        <v>602</v>
      </c>
      <c r="C284" s="6" t="s">
        <v>270</v>
      </c>
      <c r="D284" s="9" t="s">
        <v>2</v>
      </c>
      <c r="E284" s="10">
        <v>43000</v>
      </c>
      <c r="F284" s="1">
        <v>0</v>
      </c>
      <c r="G284" s="16">
        <f t="shared" si="4"/>
        <v>0</v>
      </c>
    </row>
    <row r="285" spans="1:7" ht="27.75" customHeight="1" x14ac:dyDescent="0.3">
      <c r="A285" s="6">
        <v>283</v>
      </c>
      <c r="B285" s="11" t="s">
        <v>602</v>
      </c>
      <c r="C285" s="6" t="s">
        <v>271</v>
      </c>
      <c r="D285" s="9" t="s">
        <v>2</v>
      </c>
      <c r="E285" s="10">
        <v>15000</v>
      </c>
      <c r="F285" s="1">
        <v>0</v>
      </c>
      <c r="G285" s="16">
        <f t="shared" si="4"/>
        <v>0</v>
      </c>
    </row>
    <row r="286" spans="1:7" ht="26.25" customHeight="1" x14ac:dyDescent="0.3">
      <c r="A286" s="6">
        <v>284</v>
      </c>
      <c r="B286" s="11" t="s">
        <v>602</v>
      </c>
      <c r="C286" s="6" t="s">
        <v>272</v>
      </c>
      <c r="D286" s="9" t="s">
        <v>2</v>
      </c>
      <c r="E286" s="10">
        <v>21000</v>
      </c>
      <c r="F286" s="1">
        <v>0</v>
      </c>
      <c r="G286" s="16">
        <f t="shared" si="4"/>
        <v>0</v>
      </c>
    </row>
    <row r="287" spans="1:7" ht="27" customHeight="1" x14ac:dyDescent="0.3">
      <c r="A287" s="6">
        <v>285</v>
      </c>
      <c r="B287" s="11" t="s">
        <v>602</v>
      </c>
      <c r="C287" s="6" t="s">
        <v>273</v>
      </c>
      <c r="D287" s="9" t="s">
        <v>2</v>
      </c>
      <c r="E287" s="10">
        <v>27000</v>
      </c>
      <c r="F287" s="1">
        <v>0</v>
      </c>
      <c r="G287" s="16">
        <f t="shared" si="4"/>
        <v>0</v>
      </c>
    </row>
    <row r="288" spans="1:7" ht="28.5" customHeight="1" x14ac:dyDescent="0.3">
      <c r="A288" s="6">
        <v>286</v>
      </c>
      <c r="B288" s="11" t="s">
        <v>602</v>
      </c>
      <c r="C288" s="6" t="s">
        <v>274</v>
      </c>
      <c r="D288" s="9" t="s">
        <v>2</v>
      </c>
      <c r="E288" s="10">
        <v>31000</v>
      </c>
      <c r="F288" s="1">
        <v>0</v>
      </c>
      <c r="G288" s="16">
        <f t="shared" si="4"/>
        <v>0</v>
      </c>
    </row>
    <row r="289" spans="1:7" ht="28.8" x14ac:dyDescent="0.3">
      <c r="A289" s="6">
        <v>287</v>
      </c>
      <c r="B289" s="11" t="s">
        <v>602</v>
      </c>
      <c r="C289" s="6" t="s">
        <v>275</v>
      </c>
      <c r="D289" s="9" t="s">
        <v>2</v>
      </c>
      <c r="E289" s="10">
        <v>42000</v>
      </c>
      <c r="F289" s="1">
        <v>0</v>
      </c>
      <c r="G289" s="16">
        <f t="shared" si="4"/>
        <v>0</v>
      </c>
    </row>
    <row r="290" spans="1:7" x14ac:dyDescent="0.3">
      <c r="A290" s="6">
        <v>288</v>
      </c>
      <c r="B290" s="11" t="s">
        <v>602</v>
      </c>
      <c r="C290" s="6" t="s">
        <v>276</v>
      </c>
      <c r="D290" s="9" t="s">
        <v>6</v>
      </c>
      <c r="E290" s="10">
        <v>797</v>
      </c>
      <c r="F290" s="1">
        <v>0</v>
      </c>
      <c r="G290" s="16">
        <f t="shared" si="4"/>
        <v>0</v>
      </c>
    </row>
    <row r="291" spans="1:7" x14ac:dyDescent="0.3">
      <c r="A291" s="6">
        <v>289</v>
      </c>
      <c r="B291" s="11" t="s">
        <v>602</v>
      </c>
      <c r="C291" s="6" t="s">
        <v>277</v>
      </c>
      <c r="D291" s="9" t="s">
        <v>6</v>
      </c>
      <c r="E291" s="10">
        <v>587</v>
      </c>
      <c r="F291" s="1">
        <v>0</v>
      </c>
      <c r="G291" s="16">
        <f t="shared" si="4"/>
        <v>0</v>
      </c>
    </row>
    <row r="292" spans="1:7" x14ac:dyDescent="0.3">
      <c r="A292" s="6">
        <v>290</v>
      </c>
      <c r="B292" s="11" t="s">
        <v>602</v>
      </c>
      <c r="C292" s="6" t="s">
        <v>278</v>
      </c>
      <c r="D292" s="9" t="s">
        <v>6</v>
      </c>
      <c r="E292" s="10">
        <v>860</v>
      </c>
      <c r="F292" s="1">
        <v>0</v>
      </c>
      <c r="G292" s="16">
        <f t="shared" si="4"/>
        <v>0</v>
      </c>
    </row>
    <row r="293" spans="1:7" ht="15" customHeight="1" x14ac:dyDescent="0.3">
      <c r="A293" s="6">
        <v>291</v>
      </c>
      <c r="B293" s="11" t="s">
        <v>602</v>
      </c>
      <c r="C293" s="6" t="s">
        <v>279</v>
      </c>
      <c r="D293" s="9" t="s">
        <v>6</v>
      </c>
      <c r="E293" s="10">
        <v>410</v>
      </c>
      <c r="F293" s="1">
        <v>0</v>
      </c>
      <c r="G293" s="16">
        <f t="shared" si="4"/>
        <v>0</v>
      </c>
    </row>
    <row r="294" spans="1:7" x14ac:dyDescent="0.3">
      <c r="A294" s="6">
        <v>292</v>
      </c>
      <c r="B294" s="11" t="s">
        <v>602</v>
      </c>
      <c r="C294" s="6" t="s">
        <v>280</v>
      </c>
      <c r="D294" s="9" t="s">
        <v>8</v>
      </c>
      <c r="E294" s="10">
        <v>928</v>
      </c>
      <c r="F294" s="1">
        <v>0</v>
      </c>
      <c r="G294" s="16">
        <f t="shared" si="4"/>
        <v>0</v>
      </c>
    </row>
    <row r="295" spans="1:7" x14ac:dyDescent="0.3">
      <c r="A295" s="6">
        <v>293</v>
      </c>
      <c r="B295" s="11" t="s">
        <v>602</v>
      </c>
      <c r="C295" s="6" t="s">
        <v>281</v>
      </c>
      <c r="D295" s="9" t="s">
        <v>8</v>
      </c>
      <c r="E295" s="10">
        <v>1138</v>
      </c>
      <c r="F295" s="1">
        <v>0</v>
      </c>
      <c r="G295" s="16">
        <f t="shared" si="4"/>
        <v>0</v>
      </c>
    </row>
    <row r="296" spans="1:7" x14ac:dyDescent="0.3">
      <c r="A296" s="6">
        <v>294</v>
      </c>
      <c r="B296" s="11" t="s">
        <v>602</v>
      </c>
      <c r="C296" s="6" t="s">
        <v>282</v>
      </c>
      <c r="D296" s="9" t="s">
        <v>8</v>
      </c>
      <c r="E296" s="10">
        <v>442</v>
      </c>
      <c r="F296" s="1">
        <v>0</v>
      </c>
      <c r="G296" s="16">
        <f t="shared" si="4"/>
        <v>0</v>
      </c>
    </row>
    <row r="297" spans="1:7" x14ac:dyDescent="0.3">
      <c r="A297" s="6">
        <v>295</v>
      </c>
      <c r="B297" s="11" t="s">
        <v>602</v>
      </c>
      <c r="C297" s="6" t="s">
        <v>283</v>
      </c>
      <c r="D297" s="9" t="s">
        <v>8</v>
      </c>
      <c r="E297" s="10">
        <v>232</v>
      </c>
      <c r="F297" s="1">
        <v>0</v>
      </c>
      <c r="G297" s="16">
        <f t="shared" si="4"/>
        <v>0</v>
      </c>
    </row>
    <row r="298" spans="1:7" x14ac:dyDescent="0.3">
      <c r="A298" s="6">
        <v>296</v>
      </c>
      <c r="B298" s="11" t="s">
        <v>602</v>
      </c>
      <c r="C298" s="6" t="s">
        <v>284</v>
      </c>
      <c r="D298" s="9" t="s">
        <v>8</v>
      </c>
      <c r="E298" s="10">
        <v>337</v>
      </c>
      <c r="F298" s="1">
        <v>0</v>
      </c>
      <c r="G298" s="16">
        <f t="shared" si="4"/>
        <v>0</v>
      </c>
    </row>
    <row r="299" spans="1:7" x14ac:dyDescent="0.3">
      <c r="A299" s="6">
        <v>297</v>
      </c>
      <c r="B299" s="11" t="s">
        <v>602</v>
      </c>
      <c r="C299" s="6" t="s">
        <v>285</v>
      </c>
      <c r="D299" s="9" t="s">
        <v>8</v>
      </c>
      <c r="E299" s="10">
        <v>295</v>
      </c>
      <c r="F299" s="1">
        <v>0</v>
      </c>
      <c r="G299" s="16">
        <f t="shared" si="4"/>
        <v>0</v>
      </c>
    </row>
    <row r="300" spans="1:7" x14ac:dyDescent="0.3">
      <c r="A300" s="6">
        <v>298</v>
      </c>
      <c r="B300" s="11" t="s">
        <v>602</v>
      </c>
      <c r="C300" s="6" t="s">
        <v>286</v>
      </c>
      <c r="D300" s="9" t="s">
        <v>8</v>
      </c>
      <c r="E300" s="10">
        <v>189</v>
      </c>
      <c r="F300" s="1">
        <v>0</v>
      </c>
      <c r="G300" s="16">
        <f t="shared" si="4"/>
        <v>0</v>
      </c>
    </row>
    <row r="301" spans="1:7" x14ac:dyDescent="0.3">
      <c r="A301" s="6">
        <v>299</v>
      </c>
      <c r="B301" s="11" t="s">
        <v>602</v>
      </c>
      <c r="C301" s="6" t="s">
        <v>287</v>
      </c>
      <c r="D301" s="9" t="s">
        <v>8</v>
      </c>
      <c r="E301" s="10">
        <v>74</v>
      </c>
      <c r="F301" s="1">
        <v>0</v>
      </c>
      <c r="G301" s="16">
        <f t="shared" si="4"/>
        <v>0</v>
      </c>
    </row>
    <row r="302" spans="1:7" ht="15" customHeight="1" x14ac:dyDescent="0.3">
      <c r="A302" s="6">
        <v>300</v>
      </c>
      <c r="B302" s="11" t="s">
        <v>602</v>
      </c>
      <c r="C302" s="6" t="s">
        <v>288</v>
      </c>
      <c r="D302" s="9" t="s">
        <v>6</v>
      </c>
      <c r="E302" s="10">
        <v>360</v>
      </c>
      <c r="F302" s="1">
        <v>0</v>
      </c>
      <c r="G302" s="16">
        <f t="shared" si="4"/>
        <v>0</v>
      </c>
    </row>
    <row r="303" spans="1:7" x14ac:dyDescent="0.3">
      <c r="A303" s="6">
        <v>301</v>
      </c>
      <c r="B303" s="11" t="s">
        <v>602</v>
      </c>
      <c r="C303" s="6" t="s">
        <v>289</v>
      </c>
      <c r="D303" s="9" t="s">
        <v>6</v>
      </c>
      <c r="E303" s="10">
        <v>48</v>
      </c>
      <c r="F303" s="1">
        <v>0</v>
      </c>
      <c r="G303" s="16">
        <f t="shared" si="4"/>
        <v>0</v>
      </c>
    </row>
    <row r="304" spans="1:7" ht="30" customHeight="1" x14ac:dyDescent="0.3">
      <c r="A304" s="6">
        <v>302</v>
      </c>
      <c r="B304" s="11" t="s">
        <v>602</v>
      </c>
      <c r="C304" s="6" t="s">
        <v>290</v>
      </c>
      <c r="D304" s="9" t="s">
        <v>8</v>
      </c>
      <c r="E304" s="10">
        <v>4794</v>
      </c>
      <c r="F304" s="1">
        <v>0</v>
      </c>
      <c r="G304" s="16">
        <f t="shared" si="4"/>
        <v>0</v>
      </c>
    </row>
    <row r="305" spans="1:7" ht="15" customHeight="1" x14ac:dyDescent="0.3">
      <c r="A305" s="6">
        <v>303</v>
      </c>
      <c r="B305" s="11" t="s">
        <v>602</v>
      </c>
      <c r="C305" s="6" t="s">
        <v>291</v>
      </c>
      <c r="D305" s="9" t="s">
        <v>8</v>
      </c>
      <c r="E305" s="10">
        <v>3447</v>
      </c>
      <c r="F305" s="1">
        <v>0</v>
      </c>
      <c r="G305" s="16">
        <f t="shared" si="4"/>
        <v>0</v>
      </c>
    </row>
    <row r="306" spans="1:7" x14ac:dyDescent="0.3">
      <c r="A306" s="6">
        <v>304</v>
      </c>
      <c r="B306" s="11" t="s">
        <v>602</v>
      </c>
      <c r="C306" s="6" t="s">
        <v>292</v>
      </c>
      <c r="D306" s="9" t="s">
        <v>2</v>
      </c>
      <c r="E306" s="10">
        <v>31000</v>
      </c>
      <c r="F306" s="1">
        <v>0</v>
      </c>
      <c r="G306" s="16">
        <f t="shared" si="4"/>
        <v>0</v>
      </c>
    </row>
    <row r="307" spans="1:7" x14ac:dyDescent="0.3">
      <c r="A307" s="6">
        <v>305</v>
      </c>
      <c r="B307" s="11" t="s">
        <v>602</v>
      </c>
      <c r="C307" s="6" t="s">
        <v>293</v>
      </c>
      <c r="D307" s="9" t="s">
        <v>2</v>
      </c>
      <c r="E307" s="10">
        <v>35000</v>
      </c>
      <c r="F307" s="1">
        <v>0</v>
      </c>
      <c r="G307" s="16">
        <f t="shared" si="4"/>
        <v>0</v>
      </c>
    </row>
    <row r="308" spans="1:7" x14ac:dyDescent="0.3">
      <c r="A308" s="6">
        <v>306</v>
      </c>
      <c r="B308" s="11" t="s">
        <v>602</v>
      </c>
      <c r="C308" s="6" t="s">
        <v>294</v>
      </c>
      <c r="D308" s="9" t="s">
        <v>2</v>
      </c>
      <c r="E308" s="10">
        <v>43000</v>
      </c>
      <c r="F308" s="1">
        <v>0</v>
      </c>
      <c r="G308" s="16">
        <f t="shared" si="4"/>
        <v>0</v>
      </c>
    </row>
    <row r="309" spans="1:7" x14ac:dyDescent="0.3">
      <c r="A309" s="6">
        <v>307</v>
      </c>
      <c r="B309" s="11" t="s">
        <v>602</v>
      </c>
      <c r="C309" s="6" t="s">
        <v>295</v>
      </c>
      <c r="D309" s="9" t="s">
        <v>2</v>
      </c>
      <c r="E309" s="10">
        <v>77000</v>
      </c>
      <c r="F309" s="1">
        <v>0</v>
      </c>
      <c r="G309" s="16">
        <f t="shared" si="4"/>
        <v>0</v>
      </c>
    </row>
    <row r="310" spans="1:7" x14ac:dyDescent="0.3">
      <c r="A310" s="6">
        <v>308</v>
      </c>
      <c r="B310" s="11" t="s">
        <v>602</v>
      </c>
      <c r="C310" s="6" t="s">
        <v>296</v>
      </c>
      <c r="D310" s="9" t="s">
        <v>2</v>
      </c>
      <c r="E310" s="10">
        <v>89000</v>
      </c>
      <c r="F310" s="1">
        <v>0</v>
      </c>
      <c r="G310" s="16">
        <f t="shared" si="4"/>
        <v>0</v>
      </c>
    </row>
    <row r="311" spans="1:7" x14ac:dyDescent="0.3">
      <c r="A311" s="6">
        <v>309</v>
      </c>
      <c r="B311" s="11" t="s">
        <v>602</v>
      </c>
      <c r="C311" s="6" t="s">
        <v>297</v>
      </c>
      <c r="D311" s="9" t="s">
        <v>2</v>
      </c>
      <c r="E311" s="19">
        <v>117000</v>
      </c>
      <c r="F311" s="1">
        <v>0</v>
      </c>
      <c r="G311" s="16">
        <f t="shared" si="4"/>
        <v>0</v>
      </c>
    </row>
    <row r="312" spans="1:7" ht="15" customHeight="1" x14ac:dyDescent="0.3">
      <c r="A312" s="6">
        <v>310</v>
      </c>
      <c r="B312" s="11" t="s">
        <v>602</v>
      </c>
      <c r="C312" s="6" t="s">
        <v>298</v>
      </c>
      <c r="D312" s="9" t="s">
        <v>2</v>
      </c>
      <c r="E312" s="10">
        <v>8000</v>
      </c>
      <c r="F312" s="1">
        <v>0</v>
      </c>
      <c r="G312" s="16">
        <f t="shared" si="4"/>
        <v>0</v>
      </c>
    </row>
    <row r="313" spans="1:7" ht="15" customHeight="1" x14ac:dyDescent="0.3">
      <c r="A313" s="6">
        <v>311</v>
      </c>
      <c r="B313" s="11" t="s">
        <v>602</v>
      </c>
      <c r="C313" s="6" t="s">
        <v>299</v>
      </c>
      <c r="D313" s="9" t="s">
        <v>2</v>
      </c>
      <c r="E313" s="10">
        <v>10000</v>
      </c>
      <c r="F313" s="1">
        <v>0</v>
      </c>
      <c r="G313" s="16">
        <f t="shared" si="4"/>
        <v>0</v>
      </c>
    </row>
    <row r="314" spans="1:7" x14ac:dyDescent="0.3">
      <c r="A314" s="6">
        <v>312</v>
      </c>
      <c r="B314" s="11" t="s">
        <v>602</v>
      </c>
      <c r="C314" s="6" t="s">
        <v>300</v>
      </c>
      <c r="D314" s="9" t="s">
        <v>2</v>
      </c>
      <c r="E314" s="10">
        <v>13000</v>
      </c>
      <c r="F314" s="1">
        <v>0</v>
      </c>
      <c r="G314" s="16">
        <f t="shared" si="4"/>
        <v>0</v>
      </c>
    </row>
    <row r="315" spans="1:7" ht="15" customHeight="1" x14ac:dyDescent="0.3">
      <c r="A315" s="6">
        <v>313</v>
      </c>
      <c r="B315" s="11" t="s">
        <v>602</v>
      </c>
      <c r="C315" s="6" t="s">
        <v>301</v>
      </c>
      <c r="D315" s="9" t="s">
        <v>2</v>
      </c>
      <c r="E315" s="10">
        <v>15000</v>
      </c>
      <c r="F315" s="1">
        <v>0</v>
      </c>
      <c r="G315" s="16">
        <f t="shared" si="4"/>
        <v>0</v>
      </c>
    </row>
    <row r="316" spans="1:7" ht="15" customHeight="1" x14ac:dyDescent="0.3">
      <c r="A316" s="6">
        <v>314</v>
      </c>
      <c r="B316" s="11" t="s">
        <v>602</v>
      </c>
      <c r="C316" s="6" t="s">
        <v>302</v>
      </c>
      <c r="D316" s="9" t="s">
        <v>2</v>
      </c>
      <c r="E316" s="10">
        <v>17000</v>
      </c>
      <c r="F316" s="1">
        <v>0</v>
      </c>
      <c r="G316" s="16">
        <f t="shared" si="4"/>
        <v>0</v>
      </c>
    </row>
    <row r="317" spans="1:7" ht="15" customHeight="1" x14ac:dyDescent="0.3">
      <c r="A317" s="6">
        <v>315</v>
      </c>
      <c r="B317" s="11" t="s">
        <v>602</v>
      </c>
      <c r="C317" s="6" t="s">
        <v>303</v>
      </c>
      <c r="D317" s="9" t="s">
        <v>2</v>
      </c>
      <c r="E317" s="10">
        <v>73000</v>
      </c>
      <c r="F317" s="1">
        <v>0</v>
      </c>
      <c r="G317" s="16">
        <f t="shared" si="4"/>
        <v>0</v>
      </c>
    </row>
    <row r="318" spans="1:7" ht="15" customHeight="1" x14ac:dyDescent="0.3">
      <c r="A318" s="6">
        <v>316</v>
      </c>
      <c r="B318" s="11" t="s">
        <v>602</v>
      </c>
      <c r="C318" s="6" t="s">
        <v>304</v>
      </c>
      <c r="D318" s="9" t="s">
        <v>2</v>
      </c>
      <c r="E318" s="10">
        <v>94000</v>
      </c>
      <c r="F318" s="1">
        <v>0</v>
      </c>
      <c r="G318" s="16">
        <f t="shared" si="4"/>
        <v>0</v>
      </c>
    </row>
    <row r="319" spans="1:7" ht="15" customHeight="1" x14ac:dyDescent="0.3">
      <c r="A319" s="6">
        <v>317</v>
      </c>
      <c r="B319" s="11" t="s">
        <v>602</v>
      </c>
      <c r="C319" s="6" t="s">
        <v>305</v>
      </c>
      <c r="D319" s="9" t="s">
        <v>2</v>
      </c>
      <c r="E319" s="10">
        <v>110000</v>
      </c>
      <c r="F319" s="1">
        <v>0</v>
      </c>
      <c r="G319" s="16">
        <f t="shared" si="4"/>
        <v>0</v>
      </c>
    </row>
    <row r="320" spans="1:7" x14ac:dyDescent="0.3">
      <c r="A320" s="6">
        <v>318</v>
      </c>
      <c r="B320" s="11" t="s">
        <v>602</v>
      </c>
      <c r="C320" s="6" t="s">
        <v>306</v>
      </c>
      <c r="D320" s="9" t="s">
        <v>6</v>
      </c>
      <c r="E320" s="10">
        <v>74</v>
      </c>
      <c r="F320" s="1">
        <v>0</v>
      </c>
      <c r="G320" s="16">
        <f t="shared" si="4"/>
        <v>0</v>
      </c>
    </row>
    <row r="321" spans="1:7" x14ac:dyDescent="0.3">
      <c r="A321" s="6">
        <v>319</v>
      </c>
      <c r="B321" s="11" t="s">
        <v>602</v>
      </c>
      <c r="C321" s="6" t="s">
        <v>307</v>
      </c>
      <c r="D321" s="9" t="s">
        <v>6</v>
      </c>
      <c r="E321" s="10">
        <v>146</v>
      </c>
      <c r="F321" s="1">
        <v>0</v>
      </c>
      <c r="G321" s="16">
        <f t="shared" si="4"/>
        <v>0</v>
      </c>
    </row>
    <row r="322" spans="1:7" ht="15" customHeight="1" x14ac:dyDescent="0.3">
      <c r="A322" s="6">
        <v>320</v>
      </c>
      <c r="B322" s="11" t="s">
        <v>602</v>
      </c>
      <c r="C322" s="6" t="s">
        <v>308</v>
      </c>
      <c r="D322" s="9" t="s">
        <v>6</v>
      </c>
      <c r="E322" s="10">
        <v>229</v>
      </c>
      <c r="F322" s="1">
        <v>0</v>
      </c>
      <c r="G322" s="16">
        <f t="shared" si="4"/>
        <v>0</v>
      </c>
    </row>
    <row r="323" spans="1:7" x14ac:dyDescent="0.3">
      <c r="A323" s="6">
        <v>321</v>
      </c>
      <c r="B323" s="11" t="s">
        <v>602</v>
      </c>
      <c r="C323" s="6" t="s">
        <v>309</v>
      </c>
      <c r="D323" s="9" t="s">
        <v>6</v>
      </c>
      <c r="E323" s="10">
        <v>271</v>
      </c>
      <c r="F323" s="1">
        <v>0</v>
      </c>
      <c r="G323" s="16">
        <f t="shared" si="4"/>
        <v>0</v>
      </c>
    </row>
    <row r="324" spans="1:7" ht="15" customHeight="1" x14ac:dyDescent="0.3">
      <c r="A324" s="6">
        <v>322</v>
      </c>
      <c r="B324" s="11" t="s">
        <v>602</v>
      </c>
      <c r="C324" s="6" t="s">
        <v>310</v>
      </c>
      <c r="D324" s="9" t="s">
        <v>6</v>
      </c>
      <c r="E324" s="10">
        <v>420</v>
      </c>
      <c r="F324" s="1">
        <v>0</v>
      </c>
      <c r="G324" s="16">
        <f t="shared" si="4"/>
        <v>0</v>
      </c>
    </row>
    <row r="325" spans="1:7" ht="30" customHeight="1" x14ac:dyDescent="0.3">
      <c r="A325" s="6">
        <v>323</v>
      </c>
      <c r="B325" s="11" t="s">
        <v>602</v>
      </c>
      <c r="C325" s="6" t="s">
        <v>311</v>
      </c>
      <c r="D325" s="9" t="s">
        <v>2</v>
      </c>
      <c r="E325" s="10">
        <v>1588000</v>
      </c>
      <c r="F325" s="1">
        <v>0</v>
      </c>
      <c r="G325" s="16">
        <f t="shared" si="4"/>
        <v>0</v>
      </c>
    </row>
    <row r="326" spans="1:7" ht="37.5" customHeight="1" x14ac:dyDescent="0.3">
      <c r="A326" s="6">
        <v>324</v>
      </c>
      <c r="B326" s="11" t="s">
        <v>602</v>
      </c>
      <c r="C326" s="6" t="s">
        <v>312</v>
      </c>
      <c r="D326" s="9" t="s">
        <v>2</v>
      </c>
      <c r="E326" s="10">
        <v>1116000</v>
      </c>
      <c r="F326" s="1">
        <v>0</v>
      </c>
      <c r="G326" s="16">
        <f t="shared" si="4"/>
        <v>0</v>
      </c>
    </row>
    <row r="327" spans="1:7" ht="15" customHeight="1" x14ac:dyDescent="0.3">
      <c r="A327" s="6">
        <v>325</v>
      </c>
      <c r="B327" s="11" t="s">
        <v>602</v>
      </c>
      <c r="C327" s="6" t="s">
        <v>313</v>
      </c>
      <c r="D327" s="9" t="s">
        <v>2</v>
      </c>
      <c r="E327" s="10">
        <v>1323000</v>
      </c>
      <c r="F327" s="1">
        <v>0</v>
      </c>
      <c r="G327" s="16">
        <f t="shared" si="4"/>
        <v>0</v>
      </c>
    </row>
    <row r="328" spans="1:7" ht="15" customHeight="1" x14ac:dyDescent="0.3">
      <c r="A328" s="6">
        <v>326</v>
      </c>
      <c r="B328" s="11" t="s">
        <v>602</v>
      </c>
      <c r="C328" s="6" t="s">
        <v>314</v>
      </c>
      <c r="D328" s="9" t="s">
        <v>2</v>
      </c>
      <c r="E328" s="10">
        <v>987000</v>
      </c>
      <c r="F328" s="1">
        <v>0</v>
      </c>
      <c r="G328" s="16">
        <f t="shared" si="4"/>
        <v>0</v>
      </c>
    </row>
    <row r="329" spans="1:7" ht="30.75" customHeight="1" x14ac:dyDescent="0.3">
      <c r="A329" s="6">
        <v>327</v>
      </c>
      <c r="B329" s="11" t="s">
        <v>602</v>
      </c>
      <c r="C329" s="6" t="s">
        <v>603</v>
      </c>
      <c r="D329" s="9" t="s">
        <v>2</v>
      </c>
      <c r="E329" s="10">
        <v>66000</v>
      </c>
      <c r="F329" s="1">
        <v>0</v>
      </c>
      <c r="G329" s="16">
        <f t="shared" si="4"/>
        <v>0</v>
      </c>
    </row>
    <row r="330" spans="1:7" ht="15" customHeight="1" x14ac:dyDescent="0.3">
      <c r="A330" s="6">
        <v>328</v>
      </c>
      <c r="B330" s="11" t="s">
        <v>602</v>
      </c>
      <c r="C330" s="6" t="s">
        <v>315</v>
      </c>
      <c r="D330" s="9" t="s">
        <v>2</v>
      </c>
      <c r="E330" s="10">
        <v>86000</v>
      </c>
      <c r="F330" s="1">
        <v>0</v>
      </c>
      <c r="G330" s="16">
        <f t="shared" si="4"/>
        <v>0</v>
      </c>
    </row>
    <row r="331" spans="1:7" ht="15" customHeight="1" x14ac:dyDescent="0.3">
      <c r="A331" s="6">
        <v>329</v>
      </c>
      <c r="B331" s="11" t="s">
        <v>602</v>
      </c>
      <c r="C331" s="6" t="s">
        <v>316</v>
      </c>
      <c r="D331" s="9" t="s">
        <v>2</v>
      </c>
      <c r="E331" s="10">
        <v>101000</v>
      </c>
      <c r="F331" s="1">
        <v>0</v>
      </c>
      <c r="G331" s="16">
        <f t="shared" ref="G331:G372" si="5">E331*F331</f>
        <v>0</v>
      </c>
    </row>
    <row r="332" spans="1:7" ht="15" customHeight="1" x14ac:dyDescent="0.3">
      <c r="A332" s="6">
        <v>330</v>
      </c>
      <c r="B332" s="11" t="s">
        <v>602</v>
      </c>
      <c r="C332" s="6" t="s">
        <v>605</v>
      </c>
      <c r="D332" s="9" t="s">
        <v>2</v>
      </c>
      <c r="E332" s="10">
        <v>124000</v>
      </c>
      <c r="F332" s="1">
        <v>0</v>
      </c>
      <c r="G332" s="16">
        <f t="shared" si="5"/>
        <v>0</v>
      </c>
    </row>
    <row r="333" spans="1:7" ht="15" customHeight="1" x14ac:dyDescent="0.3">
      <c r="A333" s="6">
        <v>331</v>
      </c>
      <c r="B333" s="11" t="s">
        <v>602</v>
      </c>
      <c r="C333" s="6" t="s">
        <v>317</v>
      </c>
      <c r="D333" s="9" t="s">
        <v>2</v>
      </c>
      <c r="E333" s="10">
        <v>50000</v>
      </c>
      <c r="F333" s="1">
        <v>0</v>
      </c>
      <c r="G333" s="16">
        <f t="shared" si="5"/>
        <v>0</v>
      </c>
    </row>
    <row r="334" spans="1:7" ht="15" customHeight="1" x14ac:dyDescent="0.3">
      <c r="A334" s="6">
        <v>332</v>
      </c>
      <c r="B334" s="11" t="s">
        <v>602</v>
      </c>
      <c r="C334" s="6" t="s">
        <v>318</v>
      </c>
      <c r="D334" s="9" t="s">
        <v>2</v>
      </c>
      <c r="E334" s="10">
        <v>62000</v>
      </c>
      <c r="F334" s="1">
        <v>0</v>
      </c>
      <c r="G334" s="16">
        <f t="shared" si="5"/>
        <v>0</v>
      </c>
    </row>
    <row r="335" spans="1:7" ht="15" customHeight="1" x14ac:dyDescent="0.3">
      <c r="A335" s="6">
        <v>333</v>
      </c>
      <c r="B335" s="11" t="s">
        <v>602</v>
      </c>
      <c r="C335" s="6" t="s">
        <v>319</v>
      </c>
      <c r="D335" s="9" t="s">
        <v>2</v>
      </c>
      <c r="E335" s="10">
        <v>97000</v>
      </c>
      <c r="F335" s="1">
        <v>0</v>
      </c>
      <c r="G335" s="16">
        <f t="shared" si="5"/>
        <v>0</v>
      </c>
    </row>
    <row r="336" spans="1:7" ht="15" customHeight="1" x14ac:dyDescent="0.3">
      <c r="A336" s="6">
        <v>334</v>
      </c>
      <c r="B336" s="11" t="s">
        <v>602</v>
      </c>
      <c r="C336" s="6" t="s">
        <v>320</v>
      </c>
      <c r="D336" s="9" t="s">
        <v>2</v>
      </c>
      <c r="E336" s="10">
        <v>89000</v>
      </c>
      <c r="F336" s="1">
        <v>0</v>
      </c>
      <c r="G336" s="16">
        <f t="shared" si="5"/>
        <v>0</v>
      </c>
    </row>
    <row r="337" spans="1:7" ht="15" customHeight="1" x14ac:dyDescent="0.3">
      <c r="A337" s="6">
        <v>335</v>
      </c>
      <c r="B337" s="11"/>
      <c r="C337" s="6" t="s">
        <v>669</v>
      </c>
      <c r="D337" s="9" t="s">
        <v>6</v>
      </c>
      <c r="E337" s="10">
        <v>3816</v>
      </c>
      <c r="F337" s="1">
        <v>0</v>
      </c>
      <c r="G337" s="16">
        <f t="shared" si="5"/>
        <v>0</v>
      </c>
    </row>
    <row r="338" spans="1:7" x14ac:dyDescent="0.3">
      <c r="A338" s="6">
        <v>336</v>
      </c>
      <c r="B338" s="11" t="s">
        <v>632</v>
      </c>
      <c r="C338" s="11" t="s">
        <v>633</v>
      </c>
      <c r="D338" s="11" t="s">
        <v>229</v>
      </c>
      <c r="E338" s="11">
        <v>3</v>
      </c>
      <c r="F338" s="1">
        <v>0</v>
      </c>
      <c r="G338" s="16">
        <f t="shared" si="5"/>
        <v>0</v>
      </c>
    </row>
    <row r="339" spans="1:7" x14ac:dyDescent="0.3">
      <c r="A339" s="6">
        <v>337</v>
      </c>
      <c r="B339" s="11" t="s">
        <v>632</v>
      </c>
      <c r="C339" s="11" t="s">
        <v>634</v>
      </c>
      <c r="D339" s="11" t="s">
        <v>627</v>
      </c>
      <c r="E339" s="11">
        <v>34</v>
      </c>
      <c r="F339" s="1">
        <v>0</v>
      </c>
      <c r="G339" s="16">
        <f t="shared" si="5"/>
        <v>0</v>
      </c>
    </row>
    <row r="340" spans="1:7" x14ac:dyDescent="0.3">
      <c r="A340" s="6">
        <v>338</v>
      </c>
      <c r="B340" s="11" t="s">
        <v>632</v>
      </c>
      <c r="C340" s="11" t="s">
        <v>635</v>
      </c>
      <c r="D340" s="11" t="s">
        <v>627</v>
      </c>
      <c r="E340" s="11">
        <v>21</v>
      </c>
      <c r="F340" s="1">
        <v>0</v>
      </c>
      <c r="G340" s="16">
        <f t="shared" si="5"/>
        <v>0</v>
      </c>
    </row>
    <row r="341" spans="1:7" x14ac:dyDescent="0.3">
      <c r="A341" s="6">
        <v>339</v>
      </c>
      <c r="B341" s="11" t="s">
        <v>632</v>
      </c>
      <c r="C341" s="11" t="s">
        <v>637</v>
      </c>
      <c r="D341" s="11" t="s">
        <v>627</v>
      </c>
      <c r="E341" s="11">
        <v>154</v>
      </c>
      <c r="F341" s="1">
        <v>0</v>
      </c>
      <c r="G341" s="16">
        <f t="shared" si="5"/>
        <v>0</v>
      </c>
    </row>
    <row r="342" spans="1:7" x14ac:dyDescent="0.3">
      <c r="A342" s="6">
        <v>340</v>
      </c>
      <c r="B342" s="11" t="s">
        <v>632</v>
      </c>
      <c r="C342" s="11" t="s">
        <v>636</v>
      </c>
      <c r="D342" s="11" t="s">
        <v>627</v>
      </c>
      <c r="E342" s="11">
        <v>27</v>
      </c>
      <c r="F342" s="1">
        <v>0</v>
      </c>
      <c r="G342" s="16">
        <f t="shared" si="5"/>
        <v>0</v>
      </c>
    </row>
    <row r="343" spans="1:7" x14ac:dyDescent="0.3">
      <c r="A343" s="6">
        <v>341</v>
      </c>
      <c r="B343" s="11" t="s">
        <v>632</v>
      </c>
      <c r="C343" s="11" t="s">
        <v>638</v>
      </c>
      <c r="D343" s="11" t="s">
        <v>627</v>
      </c>
      <c r="E343" s="11">
        <v>138</v>
      </c>
      <c r="F343" s="1">
        <v>0</v>
      </c>
      <c r="G343" s="16">
        <f t="shared" si="5"/>
        <v>0</v>
      </c>
    </row>
    <row r="344" spans="1:7" x14ac:dyDescent="0.3">
      <c r="A344" s="6">
        <v>342</v>
      </c>
      <c r="B344" s="11" t="s">
        <v>632</v>
      </c>
      <c r="C344" s="11" t="s">
        <v>640</v>
      </c>
      <c r="D344" s="11" t="s">
        <v>229</v>
      </c>
      <c r="E344" s="11">
        <v>557</v>
      </c>
      <c r="F344" s="1">
        <v>0</v>
      </c>
      <c r="G344" s="16">
        <f t="shared" si="5"/>
        <v>0</v>
      </c>
    </row>
    <row r="345" spans="1:7" x14ac:dyDescent="0.3">
      <c r="A345" s="6">
        <v>343</v>
      </c>
      <c r="B345" s="11" t="s">
        <v>632</v>
      </c>
      <c r="C345" s="11" t="s">
        <v>639</v>
      </c>
      <c r="D345" s="11" t="s">
        <v>229</v>
      </c>
      <c r="E345" s="11">
        <v>600</v>
      </c>
      <c r="F345" s="1">
        <v>0</v>
      </c>
      <c r="G345" s="16">
        <f t="shared" si="5"/>
        <v>0</v>
      </c>
    </row>
    <row r="346" spans="1:7" x14ac:dyDescent="0.3">
      <c r="A346" s="6">
        <v>344</v>
      </c>
      <c r="B346" s="11" t="s">
        <v>632</v>
      </c>
      <c r="C346" s="11" t="s">
        <v>641</v>
      </c>
      <c r="D346" s="11" t="s">
        <v>9</v>
      </c>
      <c r="E346" s="11">
        <v>7.3810000000000002</v>
      </c>
      <c r="F346" s="1">
        <v>0</v>
      </c>
      <c r="G346" s="16">
        <f t="shared" si="5"/>
        <v>0</v>
      </c>
    </row>
    <row r="347" spans="1:7" x14ac:dyDescent="0.3">
      <c r="A347" s="6">
        <v>345</v>
      </c>
      <c r="B347" s="11" t="s">
        <v>632</v>
      </c>
      <c r="C347" s="11" t="s">
        <v>642</v>
      </c>
      <c r="D347" s="11" t="s">
        <v>9</v>
      </c>
      <c r="E347" s="11">
        <v>1.1200000000000001</v>
      </c>
      <c r="F347" s="1">
        <v>0</v>
      </c>
      <c r="G347" s="16">
        <f t="shared" si="5"/>
        <v>0</v>
      </c>
    </row>
    <row r="348" spans="1:7" x14ac:dyDescent="0.3">
      <c r="A348" s="6">
        <v>346</v>
      </c>
      <c r="B348" s="11" t="s">
        <v>632</v>
      </c>
      <c r="C348" s="11" t="s">
        <v>643</v>
      </c>
      <c r="D348" s="11" t="s">
        <v>229</v>
      </c>
      <c r="E348" s="11">
        <v>65</v>
      </c>
      <c r="F348" s="1">
        <v>0</v>
      </c>
      <c r="G348" s="16">
        <f t="shared" si="5"/>
        <v>0</v>
      </c>
    </row>
    <row r="349" spans="1:7" x14ac:dyDescent="0.3">
      <c r="A349" s="6">
        <v>347</v>
      </c>
      <c r="B349" s="11" t="s">
        <v>632</v>
      </c>
      <c r="C349" s="11" t="s">
        <v>644</v>
      </c>
      <c r="D349" s="11" t="s">
        <v>229</v>
      </c>
      <c r="E349" s="11">
        <v>75</v>
      </c>
      <c r="F349" s="1">
        <v>0</v>
      </c>
      <c r="G349" s="16">
        <f t="shared" si="5"/>
        <v>0</v>
      </c>
    </row>
    <row r="350" spans="1:7" x14ac:dyDescent="0.3">
      <c r="A350" s="6">
        <v>348</v>
      </c>
      <c r="B350" s="11" t="s">
        <v>632</v>
      </c>
      <c r="C350" s="11" t="s">
        <v>645</v>
      </c>
      <c r="D350" s="11" t="s">
        <v>6</v>
      </c>
      <c r="E350" s="11">
        <v>2266</v>
      </c>
      <c r="F350" s="1">
        <v>0</v>
      </c>
      <c r="G350" s="16">
        <f t="shared" si="5"/>
        <v>0</v>
      </c>
    </row>
    <row r="351" spans="1:7" x14ac:dyDescent="0.3">
      <c r="A351" s="6">
        <v>349</v>
      </c>
      <c r="B351" s="11" t="s">
        <v>632</v>
      </c>
      <c r="C351" s="11" t="s">
        <v>646</v>
      </c>
      <c r="D351" s="11" t="s">
        <v>6</v>
      </c>
      <c r="E351" s="11">
        <v>2377</v>
      </c>
      <c r="F351" s="1">
        <v>1</v>
      </c>
      <c r="G351" s="16">
        <f t="shared" si="5"/>
        <v>2377</v>
      </c>
    </row>
    <row r="352" spans="1:7" x14ac:dyDescent="0.3">
      <c r="A352" s="6">
        <v>350</v>
      </c>
      <c r="B352" s="11" t="s">
        <v>632</v>
      </c>
      <c r="C352" s="11" t="s">
        <v>647</v>
      </c>
      <c r="D352" s="11" t="s">
        <v>6</v>
      </c>
      <c r="E352" s="11">
        <v>1880</v>
      </c>
      <c r="F352" s="1">
        <v>0</v>
      </c>
      <c r="G352" s="16">
        <f t="shared" si="5"/>
        <v>0</v>
      </c>
    </row>
    <row r="353" spans="1:58" x14ac:dyDescent="0.3">
      <c r="A353" s="6">
        <v>351</v>
      </c>
      <c r="B353" s="11" t="s">
        <v>632</v>
      </c>
      <c r="C353" s="11" t="s">
        <v>648</v>
      </c>
      <c r="D353" s="11" t="s">
        <v>6</v>
      </c>
      <c r="E353" s="11">
        <v>2200</v>
      </c>
      <c r="F353" s="1">
        <v>0</v>
      </c>
      <c r="G353" s="16">
        <f t="shared" si="5"/>
        <v>0</v>
      </c>
    </row>
    <row r="354" spans="1:58" x14ac:dyDescent="0.3">
      <c r="A354" s="6">
        <v>352</v>
      </c>
      <c r="B354" s="11" t="s">
        <v>632</v>
      </c>
      <c r="C354" s="11" t="s">
        <v>649</v>
      </c>
      <c r="D354" s="11" t="s">
        <v>6</v>
      </c>
      <c r="E354" s="11">
        <v>9154</v>
      </c>
      <c r="F354" s="1">
        <v>0</v>
      </c>
      <c r="G354" s="16">
        <f t="shared" si="5"/>
        <v>0</v>
      </c>
    </row>
    <row r="355" spans="1:58" x14ac:dyDescent="0.3">
      <c r="A355" s="6">
        <v>353</v>
      </c>
      <c r="B355" s="11" t="s">
        <v>632</v>
      </c>
      <c r="C355" s="11" t="s">
        <v>650</v>
      </c>
      <c r="D355" s="11" t="s">
        <v>6</v>
      </c>
      <c r="E355" s="11">
        <v>300</v>
      </c>
      <c r="F355" s="1">
        <v>0</v>
      </c>
      <c r="G355" s="16">
        <f t="shared" si="5"/>
        <v>0</v>
      </c>
      <c r="BF355">
        <v>300</v>
      </c>
    </row>
    <row r="356" spans="1:58" x14ac:dyDescent="0.3">
      <c r="A356" s="6">
        <v>354</v>
      </c>
      <c r="B356" s="11" t="s">
        <v>632</v>
      </c>
      <c r="C356" s="11" t="s">
        <v>651</v>
      </c>
      <c r="D356" s="11" t="s">
        <v>229</v>
      </c>
      <c r="E356" s="11">
        <v>1360</v>
      </c>
      <c r="F356" s="1">
        <v>0</v>
      </c>
      <c r="G356" s="16">
        <f t="shared" si="5"/>
        <v>0</v>
      </c>
    </row>
    <row r="357" spans="1:58" x14ac:dyDescent="0.3">
      <c r="A357" s="6">
        <v>355</v>
      </c>
      <c r="B357" s="11" t="s">
        <v>632</v>
      </c>
      <c r="C357" s="11" t="s">
        <v>652</v>
      </c>
      <c r="D357" s="11" t="s">
        <v>229</v>
      </c>
      <c r="E357" s="11">
        <v>2077</v>
      </c>
      <c r="F357" s="1">
        <v>0</v>
      </c>
      <c r="G357" s="16">
        <f t="shared" si="5"/>
        <v>0</v>
      </c>
    </row>
    <row r="358" spans="1:58" x14ac:dyDescent="0.3">
      <c r="A358" s="6">
        <v>356</v>
      </c>
      <c r="B358" s="11" t="s">
        <v>632</v>
      </c>
      <c r="C358" s="11" t="s">
        <v>653</v>
      </c>
      <c r="D358" s="11" t="s">
        <v>6</v>
      </c>
      <c r="E358" s="11">
        <v>1077</v>
      </c>
      <c r="F358" s="1">
        <v>0</v>
      </c>
      <c r="G358" s="16">
        <f t="shared" si="5"/>
        <v>0</v>
      </c>
    </row>
    <row r="359" spans="1:58" x14ac:dyDescent="0.3">
      <c r="A359" s="6">
        <v>357</v>
      </c>
      <c r="B359" s="11" t="s">
        <v>632</v>
      </c>
      <c r="C359" s="11" t="s">
        <v>654</v>
      </c>
      <c r="D359" s="11" t="s">
        <v>229</v>
      </c>
      <c r="E359" s="11">
        <v>48</v>
      </c>
      <c r="F359" s="1">
        <v>0</v>
      </c>
      <c r="G359" s="16">
        <f t="shared" si="5"/>
        <v>0</v>
      </c>
    </row>
    <row r="360" spans="1:58" x14ac:dyDescent="0.3">
      <c r="A360" s="6">
        <v>358</v>
      </c>
      <c r="B360" s="11" t="s">
        <v>632</v>
      </c>
      <c r="C360" s="11" t="s">
        <v>655</v>
      </c>
      <c r="D360" s="11" t="s">
        <v>229</v>
      </c>
      <c r="E360" s="11">
        <v>56</v>
      </c>
      <c r="F360" s="1">
        <v>0</v>
      </c>
      <c r="G360" s="16">
        <f t="shared" si="5"/>
        <v>0</v>
      </c>
    </row>
    <row r="361" spans="1:58" x14ac:dyDescent="0.3">
      <c r="A361" s="6">
        <v>359</v>
      </c>
      <c r="B361" s="11" t="s">
        <v>632</v>
      </c>
      <c r="C361" s="11" t="s">
        <v>656</v>
      </c>
      <c r="D361" s="11" t="s">
        <v>229</v>
      </c>
      <c r="E361" s="11">
        <v>44</v>
      </c>
      <c r="F361" s="1">
        <v>0</v>
      </c>
      <c r="G361" s="16">
        <f t="shared" si="5"/>
        <v>0</v>
      </c>
    </row>
    <row r="362" spans="1:58" x14ac:dyDescent="0.3">
      <c r="A362" s="6">
        <v>360</v>
      </c>
      <c r="B362" s="11" t="s">
        <v>632</v>
      </c>
      <c r="C362" s="11" t="s">
        <v>657</v>
      </c>
      <c r="D362" s="11" t="s">
        <v>229</v>
      </c>
      <c r="E362" s="11">
        <v>52</v>
      </c>
      <c r="F362" s="1">
        <v>0</v>
      </c>
      <c r="G362" s="16">
        <f t="shared" si="5"/>
        <v>0</v>
      </c>
    </row>
    <row r="363" spans="1:58" x14ac:dyDescent="0.3">
      <c r="A363" s="6">
        <v>361</v>
      </c>
      <c r="B363" s="11" t="s">
        <v>632</v>
      </c>
      <c r="C363" s="11" t="s">
        <v>658</v>
      </c>
      <c r="D363" s="11" t="s">
        <v>229</v>
      </c>
      <c r="E363" s="11">
        <v>44</v>
      </c>
      <c r="F363" s="1">
        <v>0</v>
      </c>
      <c r="G363" s="16">
        <f t="shared" si="5"/>
        <v>0</v>
      </c>
    </row>
    <row r="364" spans="1:58" x14ac:dyDescent="0.3">
      <c r="A364" s="6">
        <v>362</v>
      </c>
      <c r="B364" s="11" t="s">
        <v>632</v>
      </c>
      <c r="C364" s="11" t="s">
        <v>659</v>
      </c>
      <c r="D364" s="11" t="s">
        <v>229</v>
      </c>
      <c r="E364" s="11">
        <v>51</v>
      </c>
      <c r="F364" s="1">
        <v>0</v>
      </c>
      <c r="G364" s="16">
        <f t="shared" si="5"/>
        <v>0</v>
      </c>
    </row>
    <row r="365" spans="1:58" x14ac:dyDescent="0.3">
      <c r="A365" s="6">
        <v>363</v>
      </c>
      <c r="B365" s="11" t="s">
        <v>632</v>
      </c>
      <c r="C365" s="11" t="s">
        <v>660</v>
      </c>
      <c r="D365" s="11" t="s">
        <v>229</v>
      </c>
      <c r="E365" s="11">
        <v>1980</v>
      </c>
      <c r="F365" s="1">
        <v>0</v>
      </c>
      <c r="G365" s="16">
        <f t="shared" si="5"/>
        <v>0</v>
      </c>
    </row>
    <row r="366" spans="1:58" x14ac:dyDescent="0.3">
      <c r="A366" s="6">
        <v>364</v>
      </c>
      <c r="B366" s="11" t="s">
        <v>632</v>
      </c>
      <c r="C366" s="11" t="s">
        <v>661</v>
      </c>
      <c r="D366" s="11" t="s">
        <v>229</v>
      </c>
      <c r="E366" s="11">
        <v>2419</v>
      </c>
      <c r="F366" s="1">
        <v>0</v>
      </c>
      <c r="G366" s="16">
        <f t="shared" si="5"/>
        <v>0</v>
      </c>
    </row>
    <row r="367" spans="1:58" x14ac:dyDescent="0.3">
      <c r="A367" s="6">
        <v>365</v>
      </c>
      <c r="B367" s="11" t="s">
        <v>632</v>
      </c>
      <c r="C367" s="11" t="s">
        <v>662</v>
      </c>
      <c r="D367" s="11" t="s">
        <v>229</v>
      </c>
      <c r="E367" s="11">
        <v>1320</v>
      </c>
      <c r="F367" s="1">
        <v>0</v>
      </c>
      <c r="G367" s="16">
        <f t="shared" si="5"/>
        <v>0</v>
      </c>
    </row>
    <row r="368" spans="1:58" x14ac:dyDescent="0.3">
      <c r="A368" s="6">
        <v>366</v>
      </c>
      <c r="B368" s="11" t="s">
        <v>632</v>
      </c>
      <c r="C368" s="11" t="s">
        <v>663</v>
      </c>
      <c r="D368" s="11" t="s">
        <v>229</v>
      </c>
      <c r="E368" s="11">
        <v>2136</v>
      </c>
      <c r="F368" s="1">
        <v>0</v>
      </c>
      <c r="G368" s="16">
        <f t="shared" si="5"/>
        <v>0</v>
      </c>
    </row>
    <row r="369" spans="1:7" x14ac:dyDescent="0.3">
      <c r="A369" s="6">
        <v>367</v>
      </c>
      <c r="B369" s="11" t="s">
        <v>632</v>
      </c>
      <c r="C369" s="11" t="s">
        <v>665</v>
      </c>
      <c r="D369" s="11" t="s">
        <v>229</v>
      </c>
      <c r="E369" s="11">
        <v>1849</v>
      </c>
      <c r="F369" s="1">
        <v>0</v>
      </c>
      <c r="G369" s="16">
        <f t="shared" si="5"/>
        <v>0</v>
      </c>
    </row>
    <row r="370" spans="1:7" x14ac:dyDescent="0.3">
      <c r="A370" s="6">
        <v>368</v>
      </c>
      <c r="B370" s="11" t="s">
        <v>632</v>
      </c>
      <c r="C370" s="11" t="s">
        <v>664</v>
      </c>
      <c r="D370" s="11" t="s">
        <v>229</v>
      </c>
      <c r="E370" s="11">
        <v>2560</v>
      </c>
      <c r="F370" s="1">
        <v>0</v>
      </c>
      <c r="G370" s="16">
        <f t="shared" si="5"/>
        <v>0</v>
      </c>
    </row>
    <row r="371" spans="1:7" x14ac:dyDescent="0.3">
      <c r="A371" s="6">
        <v>369</v>
      </c>
      <c r="B371" s="11" t="s">
        <v>632</v>
      </c>
      <c r="C371" s="11" t="s">
        <v>667</v>
      </c>
      <c r="D371" s="11" t="s">
        <v>229</v>
      </c>
      <c r="E371" s="11">
        <v>95</v>
      </c>
      <c r="F371" s="1">
        <v>0</v>
      </c>
      <c r="G371" s="16">
        <f t="shared" si="5"/>
        <v>0</v>
      </c>
    </row>
    <row r="372" spans="1:7" x14ac:dyDescent="0.3">
      <c r="A372" s="6">
        <v>370</v>
      </c>
      <c r="B372" s="11" t="s">
        <v>632</v>
      </c>
      <c r="C372" s="11" t="s">
        <v>668</v>
      </c>
      <c r="D372" s="11" t="s">
        <v>229</v>
      </c>
      <c r="E372" s="11">
        <v>117</v>
      </c>
      <c r="F372" s="1">
        <v>0</v>
      </c>
      <c r="G372" s="16">
        <f t="shared" si="5"/>
        <v>0</v>
      </c>
    </row>
    <row r="373" spans="1:7" s="15" customFormat="1" ht="15.6" x14ac:dyDescent="0.3">
      <c r="A373" s="39"/>
      <c r="B373" s="14"/>
      <c r="C373" s="39"/>
      <c r="D373" s="39" t="s">
        <v>666</v>
      </c>
      <c r="E373" s="39"/>
      <c r="F373" s="40"/>
      <c r="G373" s="41">
        <f>SUBTOTAL(9,G3:G372)</f>
        <v>2377</v>
      </c>
    </row>
  </sheetData>
  <autoFilter ref="A2:G372" xr:uid="{00000000-0009-0000-0000-000001000000}"/>
  <mergeCells count="1">
    <mergeCell ref="A1:G1"/>
  </mergeCells>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848D4-22D6-4B43-B4A3-8A7E80A803E2}">
  <dimension ref="A2:F8"/>
  <sheetViews>
    <sheetView workbookViewId="0">
      <selection activeCell="H13" sqref="H13"/>
    </sheetView>
  </sheetViews>
  <sheetFormatPr defaultRowHeight="14.4" x14ac:dyDescent="0.3"/>
  <cols>
    <col min="5" max="5" width="12.33203125" bestFit="1" customWidth="1"/>
  </cols>
  <sheetData>
    <row r="2" spans="1:6" x14ac:dyDescent="0.3">
      <c r="B2" t="s">
        <v>767</v>
      </c>
      <c r="C2" t="s">
        <v>768</v>
      </c>
      <c r="D2" t="s">
        <v>764</v>
      </c>
      <c r="E2" t="s">
        <v>765</v>
      </c>
      <c r="F2" t="s">
        <v>766</v>
      </c>
    </row>
    <row r="3" spans="1:6" x14ac:dyDescent="0.3">
      <c r="A3" t="s">
        <v>769</v>
      </c>
      <c r="B3" t="s">
        <v>774</v>
      </c>
      <c r="C3">
        <v>4.5</v>
      </c>
    </row>
    <row r="4" spans="1:6" x14ac:dyDescent="0.3">
      <c r="A4" t="s">
        <v>769</v>
      </c>
      <c r="B4" t="s">
        <v>775</v>
      </c>
      <c r="C4">
        <v>5.8</v>
      </c>
    </row>
    <row r="5" spans="1:6" x14ac:dyDescent="0.3">
      <c r="A5" t="s">
        <v>770</v>
      </c>
      <c r="B5" t="s">
        <v>772</v>
      </c>
      <c r="C5">
        <v>6.8</v>
      </c>
    </row>
    <row r="6" spans="1:6" x14ac:dyDescent="0.3">
      <c r="A6" t="s">
        <v>770</v>
      </c>
      <c r="B6" t="s">
        <v>773</v>
      </c>
      <c r="C6">
        <v>9.8000000000000007</v>
      </c>
    </row>
    <row r="7" spans="1:6" x14ac:dyDescent="0.3">
      <c r="A7" t="s">
        <v>771</v>
      </c>
      <c r="B7" t="s">
        <v>775</v>
      </c>
      <c r="C7">
        <v>3.1</v>
      </c>
    </row>
    <row r="8" spans="1:6" x14ac:dyDescent="0.3">
      <c r="A8" t="s">
        <v>771</v>
      </c>
      <c r="B8" t="s">
        <v>776</v>
      </c>
      <c r="C8">
        <v>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D99D0-5945-4353-9047-579A5DEB500F}">
  <dimension ref="N18"/>
  <sheetViews>
    <sheetView workbookViewId="0">
      <selection activeCell="N18" sqref="N18"/>
    </sheetView>
  </sheetViews>
  <sheetFormatPr defaultRowHeight="14.4" x14ac:dyDescent="0.3"/>
  <sheetData>
    <row r="18" spans="14:14" x14ac:dyDescent="0.3">
      <c r="N18" t="s">
        <v>777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Material cost data</vt:lpstr>
      <vt:lpstr>Total labour rate</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2026-03-28T15:20:11Z</dcterms:modified>
</cp:coreProperties>
</file>